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mc:AlternateContent xmlns:mc="http://schemas.openxmlformats.org/markup-compatibility/2006">
    <mc:Choice Requires="x15">
      <x15ac:absPath xmlns:x15ac="http://schemas.microsoft.com/office/spreadsheetml/2010/11/ac" url="C:\Users\Envy\Downloads\"/>
    </mc:Choice>
  </mc:AlternateContent>
  <xr:revisionPtr revIDLastSave="0" documentId="13_ncr:1_{C2EAB5DA-CE5F-431A-86A3-805EE61EFFCB}" xr6:coauthVersionLast="36" xr6:coauthVersionMax="36" xr10:uidLastSave="{00000000-0000-0000-0000-000000000000}"/>
  <bookViews>
    <workbookView xWindow="0" yWindow="0" windowWidth="28800" windowHeight="12375" activeTab="1" xr2:uid="{00000000-000D-0000-FFFF-FFFF00000000}"/>
  </bookViews>
  <sheets>
    <sheet name="Data" sheetId="3" r:id="rId1"/>
    <sheet name="Pivot Tables" sheetId="6" r:id="rId2"/>
    <sheet name="Dashboad" sheetId="4" r:id="rId3"/>
  </sheets>
  <definedNames>
    <definedName name="_xlchart.v1.0" hidden="1">'Pivot Tables'!$D$17:$D$20</definedName>
    <definedName name="_xlchart.v1.1" hidden="1">'Pivot Tables'!$E$17:$E$20</definedName>
    <definedName name="Slicer_Job_Title">#N/A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uri="GoogleSheetsCustomDataVersion2">
      <go:sheetsCustomData xmlns:go="http://customooxmlschemas.google.com/" r:id="rId9" roundtripDataChecksum="QbVAWm+mo7mE9ap/V13jFVQLB6GXvQdkvx5/BPtkDgQ="/>
    </ext>
  </extLst>
</workbook>
</file>

<file path=xl/calcChain.xml><?xml version="1.0" encoding="utf-8"?>
<calcChain xmlns="http://schemas.openxmlformats.org/spreadsheetml/2006/main">
  <c r="E17" i="6" l="1"/>
  <c r="E5" i="6"/>
  <c r="E3" i="6"/>
  <c r="E11" i="6"/>
  <c r="E10" i="6"/>
  <c r="E20" i="6"/>
  <c r="E19" i="6"/>
  <c r="E18" i="6"/>
  <c r="E4" i="6"/>
</calcChain>
</file>

<file path=xl/sharedStrings.xml><?xml version="1.0" encoding="utf-8"?>
<sst xmlns="http://schemas.openxmlformats.org/spreadsheetml/2006/main" count="185" uniqueCount="72">
  <si>
    <t>Month</t>
  </si>
  <si>
    <t>Year</t>
  </si>
  <si>
    <t>Department</t>
  </si>
  <si>
    <t>Job Title</t>
  </si>
  <si>
    <t>Total Employees</t>
  </si>
  <si>
    <t>Salary</t>
  </si>
  <si>
    <t>Tenure (Years)</t>
  </si>
  <si>
    <t>Job Satisfaction %</t>
  </si>
  <si>
    <t>Job Unsatisfaction %</t>
  </si>
  <si>
    <t>Apr-22</t>
  </si>
  <si>
    <t>Apple</t>
  </si>
  <si>
    <t>Analyst</t>
  </si>
  <si>
    <t>Apr-23</t>
  </si>
  <si>
    <t>Pinterest</t>
  </si>
  <si>
    <t>Technical Support</t>
  </si>
  <si>
    <t>Aug-22</t>
  </si>
  <si>
    <t>Zoom</t>
  </si>
  <si>
    <t>Manager</t>
  </si>
  <si>
    <t>Aug-23</t>
  </si>
  <si>
    <t>Tiktok</t>
  </si>
  <si>
    <t>Security</t>
  </si>
  <si>
    <t>Microsoft</t>
  </si>
  <si>
    <t>Amazon</t>
  </si>
  <si>
    <t>Dec-22</t>
  </si>
  <si>
    <t>Reddit</t>
  </si>
  <si>
    <t>Tencent</t>
  </si>
  <si>
    <t>Feb-23</t>
  </si>
  <si>
    <t>LinkedIn</t>
  </si>
  <si>
    <t>Meta</t>
  </si>
  <si>
    <t>Cisco</t>
  </si>
  <si>
    <t>Oracle</t>
  </si>
  <si>
    <t>Jan-23</t>
  </si>
  <si>
    <t>Samsung</t>
  </si>
  <si>
    <t>Broadcom</t>
  </si>
  <si>
    <t>SAP</t>
  </si>
  <si>
    <t>Salesforce</t>
  </si>
  <si>
    <t>Jul-22</t>
  </si>
  <si>
    <t>Facebook</t>
  </si>
  <si>
    <t>Adobe</t>
  </si>
  <si>
    <t>Intuit</t>
  </si>
  <si>
    <t>Jul-23</t>
  </si>
  <si>
    <t>Alphabet</t>
  </si>
  <si>
    <t>Jun-22</t>
  </si>
  <si>
    <t>Instagram</t>
  </si>
  <si>
    <t>Shopify</t>
  </si>
  <si>
    <t>Synopsis</t>
  </si>
  <si>
    <t>Jun-23</t>
  </si>
  <si>
    <t>Snapchat</t>
  </si>
  <si>
    <t>Globe</t>
  </si>
  <si>
    <t>Mar-23</t>
  </si>
  <si>
    <t>Jobstreet</t>
  </si>
  <si>
    <t>May-22</t>
  </si>
  <si>
    <t>Messenger</t>
  </si>
  <si>
    <t>May-23</t>
  </si>
  <si>
    <t>Youtube</t>
  </si>
  <si>
    <t>Nov-22</t>
  </si>
  <si>
    <t>Twitter</t>
  </si>
  <si>
    <t>Oct-22</t>
  </si>
  <si>
    <t>Threads</t>
  </si>
  <si>
    <t>Sep-22</t>
  </si>
  <si>
    <t>Whatsapp</t>
  </si>
  <si>
    <t>Sep-23</t>
  </si>
  <si>
    <t>Viber</t>
  </si>
  <si>
    <t xml:space="preserve"> </t>
  </si>
  <si>
    <t>Sum of Total Employees</t>
  </si>
  <si>
    <t>Values</t>
  </si>
  <si>
    <t>Average of Salary</t>
  </si>
  <si>
    <t>Average of Tenure (Years)</t>
  </si>
  <si>
    <t>Average of Job Satisfaction %</t>
  </si>
  <si>
    <t>Average of Job Unsatisfaction %</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</si>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</sst>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5" formatCode="&quot;$&quot;#,##0_);\(&quot;$&quot;#,##0\)"/>
    <numFmt numFmtId="164" formatCode="\$* #,##0_-;\-* #,##0_-;_-* &quot;-&quot;??_-;_-@"/>
    <numFmt numFmtId="165" formatCode="_(* #,##0_);_(* \(#,##0\);_(* &quot;-&quot;??_);_(@_)"/>
    <numFmt numFmtId="166" formatCode="0.0"/>
  </numFmts>
  <fonts count="5" x14ac:knownFonts="1">
    <font>
      <sz val="11"/>
      <color theme="1"/>
      <name val="Calibri"/>
      <scheme val="minor"/>
    </font>
    <font>
      <sz val="11"/>
      <color theme="1"/>
      <name val="Calibri"/>
      <family val="2"/>
      <scheme val="minor"/>
    </font>
    <font>
      <b/>
      <sz val="12"/>
      <color theme="1"/>
      <name val="Calibri"/>
    </font>
    <font>
      <sz val="12"/>
      <color theme="1"/>
      <name val="Calibri"/>
    </font>
    <font>
      <sz val="10"/>
      <color theme="1"/>
      <name val="Calibri"/>
      <family val="2"/>
      <scheme val="minor"/>
    </font>
  </fonts>
  <fills count="3">
    <fill>
      <patternFill patternType="none"/>
    </fill>
    <fill>
      <patternFill patternType="gray125"/>
    </fill>
    <fill>
      <patternFill patternType="solid">
        <fgColor rgb="FFFFFF00"/>
        <bgColor rgb="FFFFFF00"/>
      </patternFill>
    </fill>
  </fills>
  <borders count="12">
    <border>
      <left/>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style="thin">
        <color rgb="FF999999"/>
      </left>
      <right style="thin">
        <color rgb="FF999999"/>
      </right>
      <top style="thin">
        <color indexed="65"/>
      </top>
      <bottom/>
      <diagonal/>
    </border>
    <border>
      <left style="thin">
        <color rgb="FF999999"/>
      </left>
      <right style="thin">
        <color rgb="FF999999"/>
      </right>
      <top style="thin">
        <color indexed="65"/>
      </top>
      <bottom style="thin">
        <color rgb="FF999999"/>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5">
    <xf numFmtId="0" fontId="0" fillId="0" borderId="0" xfId="0" applyFont="1" applyAlignment="1"/>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3" fillId="0" borderId="2" xfId="0" applyFont="1" applyBorder="1"/>
    <xf numFmtId="164" fontId="3" fillId="0" borderId="2" xfId="0" applyNumberFormat="1" applyFont="1" applyBorder="1"/>
    <xf numFmtId="1" fontId="3" fillId="0" borderId="2" xfId="0" applyNumberFormat="1" applyFont="1" applyBorder="1"/>
    <xf numFmtId="9" fontId="3" fillId="0" borderId="2" xfId="0" applyNumberFormat="1" applyFont="1" applyBorder="1"/>
    <xf numFmtId="0" fontId="0" fillId="0" borderId="0" xfId="0" applyFont="1" applyFill="1" applyAlignment="1"/>
    <xf numFmtId="0" fontId="0" fillId="0" borderId="3" xfId="0" applyFont="1" applyBorder="1" applyAlignment="1"/>
    <xf numFmtId="0" fontId="0" fillId="0" borderId="6" xfId="0" applyFont="1" applyBorder="1" applyAlignment="1"/>
    <xf numFmtId="0" fontId="0" fillId="0" borderId="7" xfId="0" applyNumberFormat="1" applyFont="1" applyBorder="1" applyAlignment="1"/>
    <xf numFmtId="0" fontId="0" fillId="0" borderId="3" xfId="0" pivotButton="1" applyFont="1" applyBorder="1" applyAlignment="1"/>
    <xf numFmtId="0" fontId="0" fillId="0" borderId="3" xfId="0" applyFont="1" applyBorder="1" applyAlignment="1">
      <alignment horizontal="left"/>
    </xf>
    <xf numFmtId="0" fontId="0" fillId="0" borderId="6" xfId="0" applyNumberFormat="1" applyFont="1" applyBorder="1" applyAlignment="1"/>
    <xf numFmtId="0" fontId="0" fillId="0" borderId="4" xfId="0" applyFont="1" applyBorder="1" applyAlignment="1">
      <alignment horizontal="left"/>
    </xf>
    <xf numFmtId="0" fontId="0" fillId="0" borderId="9" xfId="0" applyNumberFormat="1" applyFont="1" applyBorder="1" applyAlignment="1"/>
    <xf numFmtId="0" fontId="0" fillId="0" borderId="5" xfId="0" applyFont="1" applyBorder="1" applyAlignment="1">
      <alignment horizontal="left"/>
    </xf>
    <xf numFmtId="165" fontId="0" fillId="0" borderId="6" xfId="0" applyNumberFormat="1" applyFont="1" applyBorder="1" applyAlignment="1"/>
    <xf numFmtId="165" fontId="0" fillId="0" borderId="9" xfId="0" applyNumberFormat="1" applyFont="1" applyBorder="1" applyAlignment="1"/>
    <xf numFmtId="165" fontId="0" fillId="0" borderId="10" xfId="0" applyNumberFormat="1" applyFont="1" applyBorder="1" applyAlignment="1"/>
    <xf numFmtId="165" fontId="0" fillId="0" borderId="3" xfId="0" pivotButton="1" applyNumberFormat="1" applyFont="1" applyBorder="1" applyAlignment="1"/>
    <xf numFmtId="165" fontId="0" fillId="0" borderId="3" xfId="0" applyNumberFormat="1" applyFont="1" applyBorder="1" applyAlignment="1">
      <alignment horizontal="left"/>
    </xf>
    <xf numFmtId="165" fontId="0" fillId="0" borderId="4" xfId="0" applyNumberFormat="1" applyFont="1" applyBorder="1" applyAlignment="1">
      <alignment horizontal="left"/>
    </xf>
    <xf numFmtId="165" fontId="0" fillId="0" borderId="5" xfId="0" applyNumberFormat="1" applyFont="1" applyBorder="1" applyAlignment="1">
      <alignment horizontal="left"/>
    </xf>
    <xf numFmtId="9" fontId="0" fillId="0" borderId="6" xfId="0" applyNumberFormat="1" applyFont="1" applyBorder="1" applyAlignment="1"/>
    <xf numFmtId="9" fontId="0" fillId="0" borderId="10" xfId="0" applyNumberFormat="1" applyFont="1" applyBorder="1" applyAlignment="1"/>
    <xf numFmtId="0" fontId="0" fillId="0" borderId="8" xfId="0" applyFont="1" applyBorder="1" applyAlignment="1">
      <alignment horizontal="left"/>
    </xf>
    <xf numFmtId="165" fontId="0" fillId="0" borderId="11" xfId="0" applyNumberFormat="1" applyFont="1" applyBorder="1" applyAlignment="1">
      <alignment horizontal="left"/>
    </xf>
    <xf numFmtId="0" fontId="0" fillId="0" borderId="11" xfId="0" applyFont="1" applyBorder="1" applyAlignment="1"/>
    <xf numFmtId="5" fontId="0" fillId="0" borderId="11" xfId="0" applyNumberFormat="1" applyFont="1" applyBorder="1" applyAlignment="1"/>
    <xf numFmtId="165" fontId="1" fillId="0" borderId="11" xfId="0" applyNumberFormat="1" applyFont="1" applyBorder="1" applyAlignment="1">
      <alignment horizontal="left"/>
    </xf>
    <xf numFmtId="166" fontId="0" fillId="0" borderId="11" xfId="0" applyNumberFormat="1" applyFont="1" applyBorder="1" applyAlignment="1"/>
    <xf numFmtId="0" fontId="0" fillId="0" borderId="11" xfId="0" applyFont="1" applyBorder="1" applyAlignment="1">
      <alignment horizontal="left"/>
    </xf>
    <xf numFmtId="9" fontId="0" fillId="0" borderId="11" xfId="0" applyNumberFormat="1" applyFont="1" applyBorder="1" applyAlignment="1"/>
    <xf numFmtId="0" fontId="4" fillId="0" borderId="0" xfId="0" applyFont="1" applyFill="1" applyAlignment="1"/>
  </cellXfs>
  <cellStyles count="1">
    <cellStyle name="Normal" xfId="0" builtinId="0"/>
  </cellStyles>
  <dxfs count="76">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3" formatCode="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font>
        <color rgb="FF9C6500"/>
      </font>
      <fill>
        <patternFill patternType="solid">
          <fgColor rgb="FFFFEB9C"/>
          <bgColor rgb="FFFFEB9C"/>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1">
    <tableStyle name="Data-style" pivot="0" count="3" xr9:uid="{00000000-0011-0000-FFFF-FFFF00000000}">
      <tableStyleElement type="headerRow" dxfId="75"/>
      <tableStyleElement type="firstRowStripe" dxfId="74"/>
      <tableStyleElement type="secondRowStripe" dxfId="7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Tables!PivotTable6</c:name>
    <c:fmtId val="19"/>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030A0"/>
          </a:solidFill>
          <a:ln w="19050">
            <a:solidFill>
              <a:schemeClr val="lt1"/>
            </a:solidFill>
          </a:ln>
          <a:effectLst/>
        </c:spPr>
        <c:dLbl>
          <c:idx val="0"/>
          <c:layout>
            <c:manualLayout>
              <c:x val="-0.28652785430612565"/>
              <c:y val="-0.11563634418429429"/>
            </c:manualLayout>
          </c:layout>
          <c:tx>
            <c:rich>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fld id="{C1E24D5B-58EC-49E5-8356-07DD17A487A2}" type="VALUE">
                  <a:rPr lang="en-US" sz="1800">
                    <a:latin typeface="Segoe UI" panose="020B0502040204020203" pitchFamily="34" charset="0"/>
                    <a:cs typeface="Segoe UI" panose="020B0502040204020203" pitchFamily="34" charset="0"/>
                  </a:rPr>
                  <a:pPr>
                    <a:defRPr sz="1800">
                      <a:latin typeface="Segoe UI" panose="020B0502040204020203" pitchFamily="34" charset="0"/>
                      <a:cs typeface="Segoe UI" panose="020B0502040204020203" pitchFamily="34" charset="0"/>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9189865083435493"/>
                  <c:h val="0.34680090801845859"/>
                </c:manualLayout>
              </c15:layout>
              <c15:dlblFieldTable/>
              <c15:showDataLabelsRange val="0"/>
            </c:ext>
          </c:extLst>
        </c:dLbl>
      </c:pivotFmt>
      <c:pivotFmt>
        <c:idx val="6"/>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Tables'!$B$10</c:f>
              <c:strCache>
                <c:ptCount val="1"/>
                <c:pt idx="0">
                  <c:v>Total</c:v>
                </c:pt>
              </c:strCache>
            </c:strRef>
          </c:tx>
          <c:dPt>
            <c:idx val="0"/>
            <c:bubble3D val="0"/>
            <c:spPr>
              <a:solidFill>
                <a:srgbClr val="7030A0"/>
              </a:solidFill>
              <a:ln w="19050">
                <a:solidFill>
                  <a:schemeClr val="lt1"/>
                </a:solidFill>
              </a:ln>
              <a:effectLst/>
            </c:spPr>
            <c:extLst>
              <c:ext xmlns:c16="http://schemas.microsoft.com/office/drawing/2014/chart" uri="{C3380CC4-5D6E-409C-BE32-E72D297353CC}">
                <c16:uniqueId val="{00000001-B18B-4297-B3A8-1B9AE46D5474}"/>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B18B-4297-B3A8-1B9AE46D5474}"/>
              </c:ext>
            </c:extLst>
          </c:dPt>
          <c:dLbls>
            <c:dLbl>
              <c:idx val="0"/>
              <c:layout>
                <c:manualLayout>
                  <c:x val="-0.28652785430612565"/>
                  <c:y val="-0.11563634418429429"/>
                </c:manualLayout>
              </c:layout>
              <c:tx>
                <c:rich>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fld id="{C1E24D5B-58EC-49E5-8356-07DD17A487A2}" type="VALUE">
                      <a:rPr lang="en-US" sz="1800">
                        <a:latin typeface="Segoe UI" panose="020B0502040204020203" pitchFamily="34" charset="0"/>
                        <a:cs typeface="Segoe UI" panose="020B0502040204020203" pitchFamily="34" charset="0"/>
                      </a:rPr>
                      <a:pPr>
                        <a:defRPr sz="1800">
                          <a:latin typeface="Segoe UI" panose="020B0502040204020203" pitchFamily="34" charset="0"/>
                          <a:cs typeface="Segoe UI" panose="020B0502040204020203" pitchFamily="34" charset="0"/>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9189865083435493"/>
                      <c:h val="0.34680090801845859"/>
                    </c:manualLayout>
                  </c15:layout>
                  <c15:dlblFieldTable/>
                  <c15:showDataLabelsRange val="0"/>
                </c:ext>
                <c:ext xmlns:c16="http://schemas.microsoft.com/office/drawing/2014/chart" uri="{C3380CC4-5D6E-409C-BE32-E72D297353CC}">
                  <c16:uniqueId val="{00000001-B18B-4297-B3A8-1B9AE46D5474}"/>
                </c:ext>
              </c:extLst>
            </c:dLbl>
            <c:dLbl>
              <c:idx val="1"/>
              <c:delete val="1"/>
              <c:extLst>
                <c:ext xmlns:c15="http://schemas.microsoft.com/office/drawing/2012/chart" uri="{CE6537A1-D6FC-4f65-9D91-7224C49458BB}"/>
                <c:ext xmlns:c16="http://schemas.microsoft.com/office/drawing/2014/chart" uri="{C3380CC4-5D6E-409C-BE32-E72D297353CC}">
                  <c16:uniqueId val="{00000003-B18B-4297-B3A8-1B9AE46D54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Tables'!$A$11:$A$12</c:f>
              <c:strCache>
                <c:ptCount val="2"/>
                <c:pt idx="0">
                  <c:v>Average of Job Satisfaction %</c:v>
                </c:pt>
                <c:pt idx="1">
                  <c:v>Average of Job Unsatisfaction %</c:v>
                </c:pt>
              </c:strCache>
            </c:strRef>
          </c:cat>
          <c:val>
            <c:numRef>
              <c:f>'Pivot Tables'!$B$11:$B$12</c:f>
              <c:numCache>
                <c:formatCode>0%</c:formatCode>
                <c:ptCount val="2"/>
                <c:pt idx="0">
                  <c:v>0.60628194482428743</c:v>
                </c:pt>
                <c:pt idx="1">
                  <c:v>0.39371805517571268</c:v>
                </c:pt>
              </c:numCache>
            </c:numRef>
          </c:val>
          <c:extLst>
            <c:ext xmlns:c16="http://schemas.microsoft.com/office/drawing/2014/chart" uri="{C3380CC4-5D6E-409C-BE32-E72D297353CC}">
              <c16:uniqueId val="{00000004-B18B-4297-B3A8-1B9AE46D5474}"/>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Tables!PivotTable7</c:name>
    <c:fmtId val="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Tables'!$H$4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Tables'!$G$5:$G$23</c:f>
              <c:strCache>
                <c:ptCount val="18"/>
                <c:pt idx="0">
                  <c:v>Apr-22</c:v>
                </c:pt>
                <c:pt idx="1">
                  <c:v>Apr-23</c:v>
                </c:pt>
                <c:pt idx="2">
                  <c:v>Aug-22</c:v>
                </c:pt>
                <c:pt idx="3">
                  <c:v>Aug-23</c:v>
                </c:pt>
                <c:pt idx="4">
                  <c:v>Dec-22</c:v>
                </c:pt>
                <c:pt idx="5">
                  <c:v>Feb-23</c:v>
                </c:pt>
                <c:pt idx="6">
                  <c:v>Jan-23</c:v>
                </c:pt>
                <c:pt idx="7">
                  <c:v>Jul-22</c:v>
                </c:pt>
                <c:pt idx="8">
                  <c:v>Jul-23</c:v>
                </c:pt>
                <c:pt idx="9">
                  <c:v>Jun-22</c:v>
                </c:pt>
                <c:pt idx="10">
                  <c:v>Jun-23</c:v>
                </c:pt>
                <c:pt idx="11">
                  <c:v>Mar-23</c:v>
                </c:pt>
                <c:pt idx="12">
                  <c:v>May-22</c:v>
                </c:pt>
                <c:pt idx="13">
                  <c:v>May-23</c:v>
                </c:pt>
                <c:pt idx="14">
                  <c:v>Nov-22</c:v>
                </c:pt>
                <c:pt idx="15">
                  <c:v>Oct-22</c:v>
                </c:pt>
                <c:pt idx="16">
                  <c:v>Sep-22</c:v>
                </c:pt>
                <c:pt idx="17">
                  <c:v>Sep-23</c:v>
                </c:pt>
              </c:strCache>
            </c:strRef>
          </c:cat>
          <c:val>
            <c:numRef>
              <c:f>'Pivot Tables'!$H$5:$H$23</c:f>
              <c:numCache>
                <c:formatCode>General</c:formatCode>
                <c:ptCount val="18"/>
                <c:pt idx="0">
                  <c:v>10</c:v>
                </c:pt>
                <c:pt idx="1">
                  <c:v>9</c:v>
                </c:pt>
                <c:pt idx="2">
                  <c:v>11</c:v>
                </c:pt>
                <c:pt idx="3">
                  <c:v>35</c:v>
                </c:pt>
                <c:pt idx="4">
                  <c:v>24</c:v>
                </c:pt>
                <c:pt idx="5">
                  <c:v>51</c:v>
                </c:pt>
                <c:pt idx="6">
                  <c:v>44</c:v>
                </c:pt>
                <c:pt idx="7">
                  <c:v>36</c:v>
                </c:pt>
                <c:pt idx="8">
                  <c:v>15</c:v>
                </c:pt>
                <c:pt idx="9">
                  <c:v>33</c:v>
                </c:pt>
                <c:pt idx="10">
                  <c:v>24</c:v>
                </c:pt>
                <c:pt idx="11">
                  <c:v>15</c:v>
                </c:pt>
                <c:pt idx="12">
                  <c:v>8</c:v>
                </c:pt>
                <c:pt idx="13">
                  <c:v>10</c:v>
                </c:pt>
                <c:pt idx="14">
                  <c:v>11</c:v>
                </c:pt>
                <c:pt idx="15">
                  <c:v>10</c:v>
                </c:pt>
                <c:pt idx="16">
                  <c:v>14</c:v>
                </c:pt>
                <c:pt idx="17">
                  <c:v>9</c:v>
                </c:pt>
              </c:numCache>
            </c:numRef>
          </c:val>
          <c:smooth val="1"/>
          <c:extLst>
            <c:ext xmlns:c16="http://schemas.microsoft.com/office/drawing/2014/chart" uri="{C3380CC4-5D6E-409C-BE32-E72D297353CC}">
              <c16:uniqueId val="{00000000-F710-4C2A-99E4-4DDEC276AF90}"/>
            </c:ext>
          </c:extLst>
        </c:ser>
        <c:dLbls>
          <c:dLblPos val="t"/>
          <c:showLegendKey val="0"/>
          <c:showVal val="1"/>
          <c:showCatName val="0"/>
          <c:showSerName val="0"/>
          <c:showPercent val="0"/>
          <c:showBubbleSize val="0"/>
        </c:dLbls>
        <c:marker val="1"/>
        <c:smooth val="0"/>
        <c:axId val="1280941568"/>
        <c:axId val="1365519184"/>
      </c:lineChart>
      <c:catAx>
        <c:axId val="128094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65519184"/>
        <c:crosses val="autoZero"/>
        <c:auto val="1"/>
        <c:lblAlgn val="ctr"/>
        <c:lblOffset val="100"/>
        <c:noMultiLvlLbl val="0"/>
      </c:catAx>
      <c:valAx>
        <c:axId val="1365519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941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Tables!PivotTable9</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Tables'!$K$2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Tables'!$J$3:$J$35</c:f>
              <c:strCache>
                <c:ptCount val="32"/>
                <c:pt idx="0">
                  <c:v>Adobe</c:v>
                </c:pt>
                <c:pt idx="1">
                  <c:v>Alphabet</c:v>
                </c:pt>
                <c:pt idx="2">
                  <c:v>Amazon</c:v>
                </c:pt>
                <c:pt idx="3">
                  <c:v>Apple</c:v>
                </c:pt>
                <c:pt idx="4">
                  <c:v>Broadcom</c:v>
                </c:pt>
                <c:pt idx="5">
                  <c:v>Cisco</c:v>
                </c:pt>
                <c:pt idx="6">
                  <c:v>Facebook</c:v>
                </c:pt>
                <c:pt idx="7">
                  <c:v>Globe</c:v>
                </c:pt>
                <c:pt idx="8">
                  <c:v>Instagram</c:v>
                </c:pt>
                <c:pt idx="9">
                  <c:v>Intuit</c:v>
                </c:pt>
                <c:pt idx="10">
                  <c:v>Jobstreet</c:v>
                </c:pt>
                <c:pt idx="11">
                  <c:v>LinkedIn</c:v>
                </c:pt>
                <c:pt idx="12">
                  <c:v>Messenger</c:v>
                </c:pt>
                <c:pt idx="13">
                  <c:v>Meta</c:v>
                </c:pt>
                <c:pt idx="14">
                  <c:v>Microsoft</c:v>
                </c:pt>
                <c:pt idx="15">
                  <c:v>Oracle</c:v>
                </c:pt>
                <c:pt idx="16">
                  <c:v>Pinterest</c:v>
                </c:pt>
                <c:pt idx="17">
                  <c:v>Reddit</c:v>
                </c:pt>
                <c:pt idx="18">
                  <c:v>Salesforce</c:v>
                </c:pt>
                <c:pt idx="19">
                  <c:v>Samsung</c:v>
                </c:pt>
                <c:pt idx="20">
                  <c:v>SAP</c:v>
                </c:pt>
                <c:pt idx="21">
                  <c:v>Shopify</c:v>
                </c:pt>
                <c:pt idx="22">
                  <c:v>Snapchat</c:v>
                </c:pt>
                <c:pt idx="23">
                  <c:v>Synopsis</c:v>
                </c:pt>
                <c:pt idx="24">
                  <c:v>Tencent</c:v>
                </c:pt>
                <c:pt idx="25">
                  <c:v>Threads</c:v>
                </c:pt>
                <c:pt idx="26">
                  <c:v>Tiktok</c:v>
                </c:pt>
                <c:pt idx="27">
                  <c:v>Twitter</c:v>
                </c:pt>
                <c:pt idx="28">
                  <c:v>Viber</c:v>
                </c:pt>
                <c:pt idx="29">
                  <c:v>Whatsapp</c:v>
                </c:pt>
                <c:pt idx="30">
                  <c:v>Youtube</c:v>
                </c:pt>
                <c:pt idx="31">
                  <c:v>Zoom</c:v>
                </c:pt>
              </c:strCache>
            </c:strRef>
          </c:cat>
          <c:val>
            <c:numRef>
              <c:f>'Pivot Tables'!$K$3:$K$35</c:f>
              <c:numCache>
                <c:formatCode>General</c:formatCode>
                <c:ptCount val="32"/>
                <c:pt idx="0">
                  <c:v>15</c:v>
                </c:pt>
                <c:pt idx="1">
                  <c:v>15</c:v>
                </c:pt>
                <c:pt idx="2">
                  <c:v>14</c:v>
                </c:pt>
                <c:pt idx="3">
                  <c:v>10</c:v>
                </c:pt>
                <c:pt idx="4">
                  <c:v>9</c:v>
                </c:pt>
                <c:pt idx="5">
                  <c:v>15</c:v>
                </c:pt>
                <c:pt idx="6">
                  <c:v>9</c:v>
                </c:pt>
                <c:pt idx="7">
                  <c:v>15</c:v>
                </c:pt>
                <c:pt idx="8">
                  <c:v>10</c:v>
                </c:pt>
                <c:pt idx="9">
                  <c:v>12</c:v>
                </c:pt>
                <c:pt idx="10">
                  <c:v>15</c:v>
                </c:pt>
                <c:pt idx="11">
                  <c:v>15</c:v>
                </c:pt>
                <c:pt idx="12">
                  <c:v>8</c:v>
                </c:pt>
                <c:pt idx="13">
                  <c:v>8</c:v>
                </c:pt>
                <c:pt idx="14">
                  <c:v>11</c:v>
                </c:pt>
                <c:pt idx="15">
                  <c:v>13</c:v>
                </c:pt>
                <c:pt idx="16">
                  <c:v>9</c:v>
                </c:pt>
                <c:pt idx="17">
                  <c:v>11</c:v>
                </c:pt>
                <c:pt idx="18">
                  <c:v>15</c:v>
                </c:pt>
                <c:pt idx="19">
                  <c:v>8</c:v>
                </c:pt>
                <c:pt idx="20">
                  <c:v>12</c:v>
                </c:pt>
                <c:pt idx="21">
                  <c:v>13</c:v>
                </c:pt>
                <c:pt idx="22">
                  <c:v>9</c:v>
                </c:pt>
                <c:pt idx="23">
                  <c:v>10</c:v>
                </c:pt>
                <c:pt idx="24">
                  <c:v>13</c:v>
                </c:pt>
                <c:pt idx="25">
                  <c:v>10</c:v>
                </c:pt>
                <c:pt idx="26">
                  <c:v>10</c:v>
                </c:pt>
                <c:pt idx="27">
                  <c:v>11</c:v>
                </c:pt>
                <c:pt idx="28">
                  <c:v>9</c:v>
                </c:pt>
                <c:pt idx="29">
                  <c:v>14</c:v>
                </c:pt>
                <c:pt idx="30">
                  <c:v>10</c:v>
                </c:pt>
                <c:pt idx="31">
                  <c:v>11</c:v>
                </c:pt>
              </c:numCache>
            </c:numRef>
          </c:val>
          <c:extLst>
            <c:ext xmlns:c16="http://schemas.microsoft.com/office/drawing/2014/chart" uri="{C3380CC4-5D6E-409C-BE32-E72D297353CC}">
              <c16:uniqueId val="{00000000-E2B3-4E64-8029-4352A1D83778}"/>
            </c:ext>
          </c:extLst>
        </c:ser>
        <c:dLbls>
          <c:dLblPos val="outEnd"/>
          <c:showLegendKey val="0"/>
          <c:showVal val="1"/>
          <c:showCatName val="0"/>
          <c:showSerName val="0"/>
          <c:showPercent val="0"/>
          <c:showBubbleSize val="0"/>
        </c:dLbls>
        <c:gapWidth val="45"/>
        <c:overlap val="-27"/>
        <c:axId val="1097216000"/>
        <c:axId val="1281101936"/>
      </c:barChart>
      <c:catAx>
        <c:axId val="109721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81101936"/>
        <c:crosses val="autoZero"/>
        <c:auto val="1"/>
        <c:lblAlgn val="ctr"/>
        <c:lblOffset val="100"/>
        <c:noMultiLvlLbl val="0"/>
      </c:catAx>
      <c:valAx>
        <c:axId val="128110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21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10E952C4-3182-4F5D-8F0F-C1C0B1418243}">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263769</xdr:colOff>
      <xdr:row>0</xdr:row>
      <xdr:rowOff>0</xdr:rowOff>
    </xdr:from>
    <xdr:to>
      <xdr:col>14</xdr:col>
      <xdr:colOff>527538</xdr:colOff>
      <xdr:row>5</xdr:row>
      <xdr:rowOff>168519</xdr:rowOff>
    </xdr:to>
    <xdr:sp macro="" textlink="">
      <xdr:nvSpPr>
        <xdr:cNvPr id="4" name="Rectangle 3">
          <a:extLst>
            <a:ext uri="{FF2B5EF4-FFF2-40B4-BE49-F238E27FC236}">
              <a16:creationId xmlns:a16="http://schemas.microsoft.com/office/drawing/2014/main" id="{D7152110-D850-4991-AC6F-689C399A2E32}"/>
            </a:ext>
          </a:extLst>
        </xdr:cNvPr>
        <xdr:cNvSpPr/>
      </xdr:nvSpPr>
      <xdr:spPr>
        <a:xfrm>
          <a:off x="2088173" y="0"/>
          <a:ext cx="6953250" cy="1121019"/>
        </a:xfrm>
        <a:prstGeom prst="rect">
          <a:avLst/>
        </a:prstGeom>
        <a:solidFill>
          <a:schemeClr val="tx2">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280814</xdr:colOff>
      <xdr:row>6</xdr:row>
      <xdr:rowOff>0</xdr:rowOff>
    </xdr:from>
    <xdr:to>
      <xdr:col>14</xdr:col>
      <xdr:colOff>542192</xdr:colOff>
      <xdr:row>27</xdr:row>
      <xdr:rowOff>153865</xdr:rowOff>
    </xdr:to>
    <xdr:sp macro="" textlink="">
      <xdr:nvSpPr>
        <xdr:cNvPr id="2" name="Rectangle 1">
          <a:extLst>
            <a:ext uri="{FF2B5EF4-FFF2-40B4-BE49-F238E27FC236}">
              <a16:creationId xmlns:a16="http://schemas.microsoft.com/office/drawing/2014/main" id="{1713732F-1BD6-49E6-9F4C-34E6BC4E3E84}"/>
            </a:ext>
          </a:extLst>
        </xdr:cNvPr>
        <xdr:cNvSpPr/>
      </xdr:nvSpPr>
      <xdr:spPr>
        <a:xfrm>
          <a:off x="2105218" y="1143000"/>
          <a:ext cx="6950859" cy="4154365"/>
        </a:xfrm>
        <a:prstGeom prst="rect">
          <a:avLst/>
        </a:prstGeom>
        <a:solidFill>
          <a:schemeClr val="tx2">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75000"/>
              </a:schemeClr>
            </a:solidFill>
          </a:endParaRPr>
        </a:p>
      </xdr:txBody>
    </xdr:sp>
    <xdr:clientData/>
  </xdr:twoCellAnchor>
  <xdr:twoCellAnchor>
    <xdr:from>
      <xdr:col>11</xdr:col>
      <xdr:colOff>347082</xdr:colOff>
      <xdr:row>2</xdr:row>
      <xdr:rowOff>17131</xdr:rowOff>
    </xdr:from>
    <xdr:to>
      <xdr:col>11</xdr:col>
      <xdr:colOff>547107</xdr:colOff>
      <xdr:row>3</xdr:row>
      <xdr:rowOff>1969</xdr:rowOff>
    </xdr:to>
    <xdr:sp macro="" textlink="">
      <xdr:nvSpPr>
        <xdr:cNvPr id="29" name="Rectangle 28">
          <a:extLst>
            <a:ext uri="{FF2B5EF4-FFF2-40B4-BE49-F238E27FC236}">
              <a16:creationId xmlns:a16="http://schemas.microsoft.com/office/drawing/2014/main" id="{C1C84B99-505D-4FF2-8F1B-A34FD6476837}"/>
            </a:ext>
          </a:extLst>
        </xdr:cNvPr>
        <xdr:cNvSpPr/>
      </xdr:nvSpPr>
      <xdr:spPr>
        <a:xfrm>
          <a:off x="7036563" y="398131"/>
          <a:ext cx="200025" cy="175338"/>
        </a:xfrm>
        <a:prstGeom prst="rect">
          <a:avLst/>
        </a:prstGeom>
        <a:solidFill>
          <a:schemeClr val="tx2">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496111</xdr:colOff>
      <xdr:row>2</xdr:row>
      <xdr:rowOff>40668</xdr:rowOff>
    </xdr:from>
    <xdr:to>
      <xdr:col>9</xdr:col>
      <xdr:colOff>93103</xdr:colOff>
      <xdr:row>3</xdr:row>
      <xdr:rowOff>25506</xdr:rowOff>
    </xdr:to>
    <xdr:sp macro="" textlink="">
      <xdr:nvSpPr>
        <xdr:cNvPr id="28" name="Rectangle 27">
          <a:extLst>
            <a:ext uri="{FF2B5EF4-FFF2-40B4-BE49-F238E27FC236}">
              <a16:creationId xmlns:a16="http://schemas.microsoft.com/office/drawing/2014/main" id="{C74435F1-5AB9-4DA9-8F53-D6F76EA2B8A7}"/>
            </a:ext>
          </a:extLst>
        </xdr:cNvPr>
        <xdr:cNvSpPr/>
      </xdr:nvSpPr>
      <xdr:spPr>
        <a:xfrm>
          <a:off x="5361188" y="421668"/>
          <a:ext cx="205127" cy="175338"/>
        </a:xfrm>
        <a:prstGeom prst="rect">
          <a:avLst/>
        </a:prstGeom>
        <a:solidFill>
          <a:schemeClr val="tx2">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38993</xdr:colOff>
      <xdr:row>2</xdr:row>
      <xdr:rowOff>52975</xdr:rowOff>
    </xdr:from>
    <xdr:to>
      <xdr:col>6</xdr:col>
      <xdr:colOff>270890</xdr:colOff>
      <xdr:row>3</xdr:row>
      <xdr:rowOff>33926</xdr:rowOff>
    </xdr:to>
    <xdr:sp macro="" textlink="">
      <xdr:nvSpPr>
        <xdr:cNvPr id="27" name="Rectangle 26">
          <a:extLst>
            <a:ext uri="{FF2B5EF4-FFF2-40B4-BE49-F238E27FC236}">
              <a16:creationId xmlns:a16="http://schemas.microsoft.com/office/drawing/2014/main" id="{FECB191F-C08F-4F16-96BC-0A36B56D4E7C}"/>
            </a:ext>
          </a:extLst>
        </xdr:cNvPr>
        <xdr:cNvSpPr/>
      </xdr:nvSpPr>
      <xdr:spPr>
        <a:xfrm>
          <a:off x="3687801" y="433975"/>
          <a:ext cx="231897" cy="171451"/>
        </a:xfrm>
        <a:prstGeom prst="rect">
          <a:avLst/>
        </a:prstGeom>
        <a:solidFill>
          <a:schemeClr val="tx2">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314325</xdr:colOff>
      <xdr:row>2</xdr:row>
      <xdr:rowOff>11185</xdr:rowOff>
    </xdr:from>
    <xdr:to>
      <xdr:col>3</xdr:col>
      <xdr:colOff>512885</xdr:colOff>
      <xdr:row>2</xdr:row>
      <xdr:rowOff>182635</xdr:rowOff>
    </xdr:to>
    <xdr:sp macro="" textlink="">
      <xdr:nvSpPr>
        <xdr:cNvPr id="26" name="Rectangle 25">
          <a:extLst>
            <a:ext uri="{FF2B5EF4-FFF2-40B4-BE49-F238E27FC236}">
              <a16:creationId xmlns:a16="http://schemas.microsoft.com/office/drawing/2014/main" id="{D4C7BE59-D82F-4081-A185-EFD9351EE317}"/>
            </a:ext>
          </a:extLst>
        </xdr:cNvPr>
        <xdr:cNvSpPr/>
      </xdr:nvSpPr>
      <xdr:spPr>
        <a:xfrm>
          <a:off x="2138729" y="392185"/>
          <a:ext cx="198560" cy="171450"/>
        </a:xfrm>
        <a:prstGeom prst="rect">
          <a:avLst/>
        </a:prstGeom>
        <a:solidFill>
          <a:schemeClr val="tx2">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12317</xdr:colOff>
      <xdr:row>0</xdr:row>
      <xdr:rowOff>8211</xdr:rowOff>
    </xdr:from>
    <xdr:to>
      <xdr:col>3</xdr:col>
      <xdr:colOff>256442</xdr:colOff>
      <xdr:row>1</xdr:row>
      <xdr:rowOff>36785</xdr:rowOff>
    </xdr:to>
    <xdr:sp macro="" textlink="">
      <xdr:nvSpPr>
        <xdr:cNvPr id="8" name="Rectangle: Diagonal Corners Rounded 7">
          <a:extLst>
            <a:ext uri="{FF2B5EF4-FFF2-40B4-BE49-F238E27FC236}">
              <a16:creationId xmlns:a16="http://schemas.microsoft.com/office/drawing/2014/main" id="{7CE1AB65-382C-42F0-BB63-12E917F25748}"/>
            </a:ext>
          </a:extLst>
        </xdr:cNvPr>
        <xdr:cNvSpPr/>
      </xdr:nvSpPr>
      <xdr:spPr>
        <a:xfrm>
          <a:off x="12317" y="8211"/>
          <a:ext cx="2068529" cy="219074"/>
        </a:xfrm>
        <a:prstGeom prst="round2DiagRect">
          <a:avLst/>
        </a:prstGeom>
        <a:solidFill>
          <a:schemeClr val="tx1">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chemeClr val="bg1"/>
              </a:solidFill>
              <a:latin typeface="Segoe UI" panose="020B0502040204020203" pitchFamily="34" charset="0"/>
              <a:cs typeface="Segoe UI" panose="020B0502040204020203" pitchFamily="34" charset="0"/>
            </a:rPr>
            <a:t>Filters</a:t>
          </a:r>
        </a:p>
      </xdr:txBody>
    </xdr:sp>
    <xdr:clientData/>
  </xdr:twoCellAnchor>
  <xdr:twoCellAnchor>
    <xdr:from>
      <xdr:col>0</xdr:col>
      <xdr:colOff>0</xdr:colOff>
      <xdr:row>1</xdr:row>
      <xdr:rowOff>41911</xdr:rowOff>
    </xdr:from>
    <xdr:to>
      <xdr:col>3</xdr:col>
      <xdr:colOff>234461</xdr:colOff>
      <xdr:row>6</xdr:row>
      <xdr:rowOff>168519</xdr:rowOff>
    </xdr:to>
    <xdr:sp macro="" textlink="">
      <xdr:nvSpPr>
        <xdr:cNvPr id="9" name="Rectangle 8">
          <a:extLst>
            <a:ext uri="{FF2B5EF4-FFF2-40B4-BE49-F238E27FC236}">
              <a16:creationId xmlns:a16="http://schemas.microsoft.com/office/drawing/2014/main" id="{C0759C2C-04C7-41D9-BDFA-FCFACB65B065}"/>
            </a:ext>
          </a:extLst>
        </xdr:cNvPr>
        <xdr:cNvSpPr/>
      </xdr:nvSpPr>
      <xdr:spPr>
        <a:xfrm>
          <a:off x="0" y="232411"/>
          <a:ext cx="2058865" cy="10791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BY</a:t>
          </a:r>
          <a:r>
            <a:rPr lang="en-US" sz="1100" b="1" baseline="0"/>
            <a:t> Year</a:t>
          </a:r>
          <a:endParaRPr lang="en-US" sz="1100" b="1"/>
        </a:p>
      </xdr:txBody>
    </xdr:sp>
    <xdr:clientData/>
  </xdr:twoCellAnchor>
  <xdr:twoCellAnchor>
    <xdr:from>
      <xdr:col>0</xdr:col>
      <xdr:colOff>5954</xdr:colOff>
      <xdr:row>6</xdr:row>
      <xdr:rowOff>161192</xdr:rowOff>
    </xdr:from>
    <xdr:to>
      <xdr:col>3</xdr:col>
      <xdr:colOff>234461</xdr:colOff>
      <xdr:row>18</xdr:row>
      <xdr:rowOff>153864</xdr:rowOff>
    </xdr:to>
    <xdr:sp macro="" textlink="">
      <xdr:nvSpPr>
        <xdr:cNvPr id="10" name="Rectangle 9">
          <a:extLst>
            <a:ext uri="{FF2B5EF4-FFF2-40B4-BE49-F238E27FC236}">
              <a16:creationId xmlns:a16="http://schemas.microsoft.com/office/drawing/2014/main" id="{3E4941F2-8653-4C02-82F1-1FC95AF79CA3}"/>
            </a:ext>
          </a:extLst>
        </xdr:cNvPr>
        <xdr:cNvSpPr/>
      </xdr:nvSpPr>
      <xdr:spPr>
        <a:xfrm>
          <a:off x="5954" y="1304192"/>
          <a:ext cx="2052911" cy="22786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By</a:t>
          </a:r>
          <a:r>
            <a:rPr lang="en-US" sz="1100" b="1" baseline="0"/>
            <a:t> Month</a:t>
          </a:r>
          <a:endParaRPr lang="en-US" sz="1100" b="1"/>
        </a:p>
      </xdr:txBody>
    </xdr:sp>
    <xdr:clientData/>
  </xdr:twoCellAnchor>
  <xdr:twoCellAnchor>
    <xdr:from>
      <xdr:col>0</xdr:col>
      <xdr:colOff>0</xdr:colOff>
      <xdr:row>18</xdr:row>
      <xdr:rowOff>175846</xdr:rowOff>
    </xdr:from>
    <xdr:to>
      <xdr:col>3</xdr:col>
      <xdr:colOff>256442</xdr:colOff>
      <xdr:row>27</xdr:row>
      <xdr:rowOff>131884</xdr:rowOff>
    </xdr:to>
    <xdr:sp macro="" textlink="">
      <xdr:nvSpPr>
        <xdr:cNvPr id="11" name="Rectangle 10">
          <a:extLst>
            <a:ext uri="{FF2B5EF4-FFF2-40B4-BE49-F238E27FC236}">
              <a16:creationId xmlns:a16="http://schemas.microsoft.com/office/drawing/2014/main" id="{CF947ACC-7551-4745-944B-11D4F62F0389}"/>
            </a:ext>
          </a:extLst>
        </xdr:cNvPr>
        <xdr:cNvSpPr/>
      </xdr:nvSpPr>
      <xdr:spPr>
        <a:xfrm>
          <a:off x="0" y="3604846"/>
          <a:ext cx="2080846" cy="16705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By Job Title</a:t>
          </a:r>
        </a:p>
      </xdr:txBody>
    </xdr:sp>
    <xdr:clientData/>
  </xdr:twoCellAnchor>
  <xdr:twoCellAnchor>
    <xdr:from>
      <xdr:col>3</xdr:col>
      <xdr:colOff>359847</xdr:colOff>
      <xdr:row>5</xdr:row>
      <xdr:rowOff>189603</xdr:rowOff>
    </xdr:from>
    <xdr:to>
      <xdr:col>6</xdr:col>
      <xdr:colOff>436774</xdr:colOff>
      <xdr:row>7</xdr:row>
      <xdr:rowOff>131287</xdr:rowOff>
    </xdr:to>
    <xdr:sp macro="" textlink="">
      <xdr:nvSpPr>
        <xdr:cNvPr id="12" name="Rectangle 11">
          <a:extLst>
            <a:ext uri="{FF2B5EF4-FFF2-40B4-BE49-F238E27FC236}">
              <a16:creationId xmlns:a16="http://schemas.microsoft.com/office/drawing/2014/main" id="{0A71F849-A5A1-4413-9A51-0CB492F9AAA0}"/>
            </a:ext>
          </a:extLst>
        </xdr:cNvPr>
        <xdr:cNvSpPr/>
      </xdr:nvSpPr>
      <xdr:spPr>
        <a:xfrm>
          <a:off x="2184251" y="1142103"/>
          <a:ext cx="1901331" cy="322684"/>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ysClr val="windowText" lastClr="000000"/>
              </a:solidFill>
              <a:latin typeface="Segoe UI" panose="020B0502040204020203" pitchFamily="34" charset="0"/>
              <a:cs typeface="Segoe UI" panose="020B0502040204020203" pitchFamily="34" charset="0"/>
            </a:rPr>
            <a:t>Overall Job</a:t>
          </a:r>
          <a:r>
            <a:rPr lang="en-US" sz="1200" b="1" baseline="0">
              <a:solidFill>
                <a:sysClr val="windowText" lastClr="000000"/>
              </a:solidFill>
              <a:latin typeface="Segoe UI" panose="020B0502040204020203" pitchFamily="34" charset="0"/>
              <a:cs typeface="Segoe UI" panose="020B0502040204020203" pitchFamily="34" charset="0"/>
            </a:rPr>
            <a:t> satisfaction</a:t>
          </a:r>
          <a:endParaRPr lang="en-US" sz="12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3</xdr:col>
      <xdr:colOff>336432</xdr:colOff>
      <xdr:row>8</xdr:row>
      <xdr:rowOff>28561</xdr:rowOff>
    </xdr:from>
    <xdr:to>
      <xdr:col>6</xdr:col>
      <xdr:colOff>490307</xdr:colOff>
      <xdr:row>27</xdr:row>
      <xdr:rowOff>102577</xdr:rowOff>
    </xdr:to>
    <xdr:sp macro="" textlink="">
      <xdr:nvSpPr>
        <xdr:cNvPr id="13" name="Rectangle 12">
          <a:extLst>
            <a:ext uri="{FF2B5EF4-FFF2-40B4-BE49-F238E27FC236}">
              <a16:creationId xmlns:a16="http://schemas.microsoft.com/office/drawing/2014/main" id="{FEC5143E-0FB4-47D8-92BB-325FF41FCA09}"/>
            </a:ext>
          </a:extLst>
        </xdr:cNvPr>
        <xdr:cNvSpPr/>
      </xdr:nvSpPr>
      <xdr:spPr>
        <a:xfrm>
          <a:off x="2160836" y="1552561"/>
          <a:ext cx="1978279" cy="36935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564986</xdr:colOff>
      <xdr:row>6</xdr:row>
      <xdr:rowOff>5312</xdr:rowOff>
    </xdr:from>
    <xdr:to>
      <xdr:col>11</xdr:col>
      <xdr:colOff>498230</xdr:colOff>
      <xdr:row>7</xdr:row>
      <xdr:rowOff>138464</xdr:rowOff>
    </xdr:to>
    <xdr:sp macro="" textlink="">
      <xdr:nvSpPr>
        <xdr:cNvPr id="14" name="Rectangle 13">
          <a:extLst>
            <a:ext uri="{FF2B5EF4-FFF2-40B4-BE49-F238E27FC236}">
              <a16:creationId xmlns:a16="http://schemas.microsoft.com/office/drawing/2014/main" id="{4C73807E-10AD-4102-8D18-C57D79E46051}"/>
            </a:ext>
          </a:extLst>
        </xdr:cNvPr>
        <xdr:cNvSpPr/>
      </xdr:nvSpPr>
      <xdr:spPr>
        <a:xfrm>
          <a:off x="4213794" y="1148312"/>
          <a:ext cx="2973917" cy="323652"/>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latin typeface="Segoe UI" panose="020B0502040204020203" pitchFamily="34" charset="0"/>
              <a:cs typeface="Segoe UI" panose="020B0502040204020203" pitchFamily="34" charset="0"/>
            </a:rPr>
            <a:t>Employees</a:t>
          </a:r>
          <a:r>
            <a:rPr lang="en-US" sz="1800" b="1" baseline="0">
              <a:solidFill>
                <a:sysClr val="windowText" lastClr="000000"/>
              </a:solidFill>
              <a:latin typeface="Segoe UI" panose="020B0502040204020203" pitchFamily="34" charset="0"/>
              <a:cs typeface="Segoe UI" panose="020B0502040204020203" pitchFamily="34" charset="0"/>
            </a:rPr>
            <a:t> per month</a:t>
          </a:r>
          <a:endParaRPr lang="en-US" sz="18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6</xdr:col>
      <xdr:colOff>582874</xdr:colOff>
      <xdr:row>8</xdr:row>
      <xdr:rowOff>18246</xdr:rowOff>
    </xdr:from>
    <xdr:to>
      <xdr:col>11</xdr:col>
      <xdr:colOff>522006</xdr:colOff>
      <xdr:row>17</xdr:row>
      <xdr:rowOff>16147</xdr:rowOff>
    </xdr:to>
    <xdr:sp macro="" textlink="">
      <xdr:nvSpPr>
        <xdr:cNvPr id="15" name="Rectangle 14">
          <a:extLst>
            <a:ext uri="{FF2B5EF4-FFF2-40B4-BE49-F238E27FC236}">
              <a16:creationId xmlns:a16="http://schemas.microsoft.com/office/drawing/2014/main" id="{B25479B3-C1C7-48A0-A7A8-1B85BBACD6F1}"/>
            </a:ext>
          </a:extLst>
        </xdr:cNvPr>
        <xdr:cNvSpPr/>
      </xdr:nvSpPr>
      <xdr:spPr>
        <a:xfrm>
          <a:off x="4231682" y="1542246"/>
          <a:ext cx="2979805" cy="17124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593480</xdr:colOff>
      <xdr:row>18</xdr:row>
      <xdr:rowOff>103351</xdr:rowOff>
    </xdr:from>
    <xdr:to>
      <xdr:col>14</xdr:col>
      <xdr:colOff>521855</xdr:colOff>
      <xdr:row>27</xdr:row>
      <xdr:rowOff>117231</xdr:rowOff>
    </xdr:to>
    <xdr:sp macro="" textlink="">
      <xdr:nvSpPr>
        <xdr:cNvPr id="16" name="Rectangle 15">
          <a:extLst>
            <a:ext uri="{FF2B5EF4-FFF2-40B4-BE49-F238E27FC236}">
              <a16:creationId xmlns:a16="http://schemas.microsoft.com/office/drawing/2014/main" id="{1D7B3107-3089-4BD9-9E95-A1719D88C0A3}"/>
            </a:ext>
          </a:extLst>
        </xdr:cNvPr>
        <xdr:cNvSpPr/>
      </xdr:nvSpPr>
      <xdr:spPr>
        <a:xfrm>
          <a:off x="4242288" y="3532351"/>
          <a:ext cx="4793452" cy="1728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560883</xdr:colOff>
      <xdr:row>7</xdr:row>
      <xdr:rowOff>168519</xdr:rowOff>
    </xdr:from>
    <xdr:to>
      <xdr:col>14</xdr:col>
      <xdr:colOff>507913</xdr:colOff>
      <xdr:row>16</xdr:row>
      <xdr:rowOff>178238</xdr:rowOff>
    </xdr:to>
    <xdr:sp macro="" textlink="">
      <xdr:nvSpPr>
        <xdr:cNvPr id="17" name="Rectangle 16">
          <a:extLst>
            <a:ext uri="{FF2B5EF4-FFF2-40B4-BE49-F238E27FC236}">
              <a16:creationId xmlns:a16="http://schemas.microsoft.com/office/drawing/2014/main" id="{1A7DEFF9-16DD-40F8-B980-37FAD132A1DC}"/>
            </a:ext>
          </a:extLst>
        </xdr:cNvPr>
        <xdr:cNvSpPr/>
      </xdr:nvSpPr>
      <xdr:spPr>
        <a:xfrm>
          <a:off x="7250364" y="1502019"/>
          <a:ext cx="1771434" cy="17242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572113</xdr:colOff>
      <xdr:row>6</xdr:row>
      <xdr:rowOff>43117</xdr:rowOff>
    </xdr:from>
    <xdr:to>
      <xdr:col>14</xdr:col>
      <xdr:colOff>505557</xdr:colOff>
      <xdr:row>7</xdr:row>
      <xdr:rowOff>145941</xdr:rowOff>
    </xdr:to>
    <xdr:sp macro="" textlink="">
      <xdr:nvSpPr>
        <xdr:cNvPr id="18" name="Rectangle 17">
          <a:extLst>
            <a:ext uri="{FF2B5EF4-FFF2-40B4-BE49-F238E27FC236}">
              <a16:creationId xmlns:a16="http://schemas.microsoft.com/office/drawing/2014/main" id="{BBB1B278-D2D7-43C4-8842-2898D4795164}"/>
            </a:ext>
          </a:extLst>
        </xdr:cNvPr>
        <xdr:cNvSpPr/>
      </xdr:nvSpPr>
      <xdr:spPr>
        <a:xfrm>
          <a:off x="7261594" y="1186117"/>
          <a:ext cx="1757848" cy="293324"/>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ysClr val="windowText" lastClr="000000"/>
              </a:solidFill>
              <a:latin typeface="Segoe UI" panose="020B0502040204020203" pitchFamily="34" charset="0"/>
              <a:cs typeface="Segoe UI" panose="020B0502040204020203" pitchFamily="34" charset="0"/>
            </a:rPr>
            <a:t>Employees per</a:t>
          </a:r>
          <a:r>
            <a:rPr lang="en-US" sz="1100" b="1" baseline="0">
              <a:solidFill>
                <a:sysClr val="windowText" lastClr="000000"/>
              </a:solidFill>
              <a:latin typeface="Segoe UI" panose="020B0502040204020203" pitchFamily="34" charset="0"/>
              <a:cs typeface="Segoe UI" panose="020B0502040204020203" pitchFamily="34" charset="0"/>
            </a:rPr>
            <a:t> Job title</a:t>
          </a:r>
          <a:endParaRPr lang="en-US" sz="11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6</xdr:col>
      <xdr:colOff>590109</xdr:colOff>
      <xdr:row>17</xdr:row>
      <xdr:rowOff>12113</xdr:rowOff>
    </xdr:from>
    <xdr:to>
      <xdr:col>14</xdr:col>
      <xdr:colOff>505109</xdr:colOff>
      <xdr:row>18</xdr:row>
      <xdr:rowOff>70429</xdr:rowOff>
    </xdr:to>
    <xdr:sp macro="" textlink="">
      <xdr:nvSpPr>
        <xdr:cNvPr id="19" name="Rectangle 18">
          <a:extLst>
            <a:ext uri="{FF2B5EF4-FFF2-40B4-BE49-F238E27FC236}">
              <a16:creationId xmlns:a16="http://schemas.microsoft.com/office/drawing/2014/main" id="{E0089EB1-D9EC-44CE-8DBC-66ECE309788C}"/>
            </a:ext>
          </a:extLst>
        </xdr:cNvPr>
        <xdr:cNvSpPr/>
      </xdr:nvSpPr>
      <xdr:spPr>
        <a:xfrm>
          <a:off x="4238917" y="3250613"/>
          <a:ext cx="4780077" cy="248816"/>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latin typeface="Segoe UI" panose="020B0502040204020203" pitchFamily="34" charset="0"/>
              <a:cs typeface="Segoe UI" panose="020B0502040204020203" pitchFamily="34" charset="0"/>
            </a:rPr>
            <a:t>Employees per Department</a:t>
          </a:r>
        </a:p>
      </xdr:txBody>
    </xdr:sp>
    <xdr:clientData/>
  </xdr:twoCellAnchor>
  <xdr:twoCellAnchor>
    <xdr:from>
      <xdr:col>3</xdr:col>
      <xdr:colOff>513932</xdr:colOff>
      <xdr:row>0</xdr:row>
      <xdr:rowOff>31414</xdr:rowOff>
    </xdr:from>
    <xdr:to>
      <xdr:col>14</xdr:col>
      <xdr:colOff>177938</xdr:colOff>
      <xdr:row>1</xdr:row>
      <xdr:rowOff>161192</xdr:rowOff>
    </xdr:to>
    <xdr:sp macro="" textlink="">
      <xdr:nvSpPr>
        <xdr:cNvPr id="20" name="Rectangle 19">
          <a:extLst>
            <a:ext uri="{FF2B5EF4-FFF2-40B4-BE49-F238E27FC236}">
              <a16:creationId xmlns:a16="http://schemas.microsoft.com/office/drawing/2014/main" id="{FAD87B78-60ED-470F-A7D7-567C05DB063C}"/>
            </a:ext>
          </a:extLst>
        </xdr:cNvPr>
        <xdr:cNvSpPr/>
      </xdr:nvSpPr>
      <xdr:spPr>
        <a:xfrm>
          <a:off x="2338336" y="31414"/>
          <a:ext cx="6353487" cy="320278"/>
        </a:xfrm>
        <a:prstGeom prst="rect">
          <a:avLst/>
        </a:prstGeom>
        <a:solidFill>
          <a:schemeClr val="tx1">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latin typeface="Segoe UI" panose="020B0502040204020203" pitchFamily="34" charset="0"/>
              <a:cs typeface="Segoe UI" panose="020B0502040204020203" pitchFamily="34" charset="0"/>
            </a:rPr>
            <a:t>HR ANALYTICS DASHBOARD</a:t>
          </a:r>
        </a:p>
      </xdr:txBody>
    </xdr:sp>
    <xdr:clientData/>
  </xdr:twoCellAnchor>
  <xdr:twoCellAnchor>
    <xdr:from>
      <xdr:col>3</xdr:col>
      <xdr:colOff>424960</xdr:colOff>
      <xdr:row>2</xdr:row>
      <xdr:rowOff>114775</xdr:rowOff>
    </xdr:from>
    <xdr:to>
      <xdr:col>6</xdr:col>
      <xdr:colOff>58913</xdr:colOff>
      <xdr:row>5</xdr:row>
      <xdr:rowOff>148477</xdr:rowOff>
    </xdr:to>
    <xdr:sp macro="" textlink="">
      <xdr:nvSpPr>
        <xdr:cNvPr id="21" name="Rectangle: Diagonal Corners Rounded 20">
          <a:extLst>
            <a:ext uri="{FF2B5EF4-FFF2-40B4-BE49-F238E27FC236}">
              <a16:creationId xmlns:a16="http://schemas.microsoft.com/office/drawing/2014/main" id="{9491CB15-991F-4689-8798-AB42CBCEF40E}"/>
            </a:ext>
          </a:extLst>
        </xdr:cNvPr>
        <xdr:cNvSpPr/>
      </xdr:nvSpPr>
      <xdr:spPr>
        <a:xfrm flipV="1">
          <a:off x="2249364" y="495775"/>
          <a:ext cx="1458357" cy="605202"/>
        </a:xfrm>
        <a:prstGeom prst="round2Diag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186425</xdr:colOff>
      <xdr:row>2</xdr:row>
      <xdr:rowOff>143547</xdr:rowOff>
    </xdr:from>
    <xdr:to>
      <xdr:col>8</xdr:col>
      <xdr:colOff>494641</xdr:colOff>
      <xdr:row>5</xdr:row>
      <xdr:rowOff>143546</xdr:rowOff>
    </xdr:to>
    <xdr:sp macro="" textlink="">
      <xdr:nvSpPr>
        <xdr:cNvPr id="22" name="Rectangle: Diagonal Corners Rounded 21">
          <a:extLst>
            <a:ext uri="{FF2B5EF4-FFF2-40B4-BE49-F238E27FC236}">
              <a16:creationId xmlns:a16="http://schemas.microsoft.com/office/drawing/2014/main" id="{EAE817D8-4A5A-4ED7-9B85-0582FE01758B}"/>
            </a:ext>
          </a:extLst>
        </xdr:cNvPr>
        <xdr:cNvSpPr/>
      </xdr:nvSpPr>
      <xdr:spPr>
        <a:xfrm flipV="1">
          <a:off x="3835233" y="524547"/>
          <a:ext cx="1524485" cy="571499"/>
        </a:xfrm>
        <a:prstGeom prst="round2Diag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34708</xdr:colOff>
      <xdr:row>2</xdr:row>
      <xdr:rowOff>109303</xdr:rowOff>
    </xdr:from>
    <xdr:to>
      <xdr:col>11</xdr:col>
      <xdr:colOff>339280</xdr:colOff>
      <xdr:row>5</xdr:row>
      <xdr:rowOff>148179</xdr:rowOff>
    </xdr:to>
    <xdr:sp macro="" textlink="">
      <xdr:nvSpPr>
        <xdr:cNvPr id="23" name="Rectangle: Diagonal Corners Rounded 22">
          <a:extLst>
            <a:ext uri="{FF2B5EF4-FFF2-40B4-BE49-F238E27FC236}">
              <a16:creationId xmlns:a16="http://schemas.microsoft.com/office/drawing/2014/main" id="{9F682E9A-37A5-4B21-A239-AABEEBA677EC}"/>
            </a:ext>
          </a:extLst>
        </xdr:cNvPr>
        <xdr:cNvSpPr/>
      </xdr:nvSpPr>
      <xdr:spPr>
        <a:xfrm flipV="1">
          <a:off x="5507920" y="490303"/>
          <a:ext cx="1520841" cy="610376"/>
        </a:xfrm>
        <a:prstGeom prst="round2Diag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483937</xdr:colOff>
      <xdr:row>2</xdr:row>
      <xdr:rowOff>113143</xdr:rowOff>
    </xdr:from>
    <xdr:to>
      <xdr:col>14</xdr:col>
      <xdr:colOff>392813</xdr:colOff>
      <xdr:row>5</xdr:row>
      <xdr:rowOff>109006</xdr:rowOff>
    </xdr:to>
    <xdr:sp macro="" textlink="">
      <xdr:nvSpPr>
        <xdr:cNvPr id="24" name="Rectangle: Diagonal Corners Rounded 23">
          <a:extLst>
            <a:ext uri="{FF2B5EF4-FFF2-40B4-BE49-F238E27FC236}">
              <a16:creationId xmlns:a16="http://schemas.microsoft.com/office/drawing/2014/main" id="{5C0AF31A-7178-4918-A1BB-68F223769DAA}"/>
            </a:ext>
          </a:extLst>
        </xdr:cNvPr>
        <xdr:cNvSpPr/>
      </xdr:nvSpPr>
      <xdr:spPr>
        <a:xfrm flipV="1">
          <a:off x="7173418" y="494143"/>
          <a:ext cx="1733280" cy="567363"/>
        </a:xfrm>
        <a:prstGeom prst="round2Diag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310260</xdr:colOff>
      <xdr:row>2</xdr:row>
      <xdr:rowOff>100003</xdr:rowOff>
    </xdr:from>
    <xdr:to>
      <xdr:col>6</xdr:col>
      <xdr:colOff>305035</xdr:colOff>
      <xdr:row>3</xdr:row>
      <xdr:rowOff>145941</xdr:rowOff>
    </xdr:to>
    <xdr:sp macro="" textlink="">
      <xdr:nvSpPr>
        <xdr:cNvPr id="30" name="TextBox 29">
          <a:extLst>
            <a:ext uri="{FF2B5EF4-FFF2-40B4-BE49-F238E27FC236}">
              <a16:creationId xmlns:a16="http://schemas.microsoft.com/office/drawing/2014/main" id="{50656AA0-7A3F-4AE9-81CB-592FCAFC3A38}"/>
            </a:ext>
          </a:extLst>
        </xdr:cNvPr>
        <xdr:cNvSpPr txBox="1"/>
      </xdr:nvSpPr>
      <xdr:spPr>
        <a:xfrm>
          <a:off x="2742798" y="481003"/>
          <a:ext cx="1211045" cy="236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1">
              <a:solidFill>
                <a:schemeClr val="accent3"/>
              </a:solidFill>
              <a:latin typeface="Segoe UI" panose="020B0502040204020203" pitchFamily="34" charset="0"/>
              <a:cs typeface="Segoe UI" panose="020B0502040204020203" pitchFamily="34" charset="0"/>
            </a:rPr>
            <a:t>Total</a:t>
          </a:r>
          <a:r>
            <a:rPr lang="en-US" sz="1050" b="1" baseline="0">
              <a:solidFill>
                <a:schemeClr val="accent3"/>
              </a:solidFill>
              <a:latin typeface="Segoe UI" panose="020B0502040204020203" pitchFamily="34" charset="0"/>
              <a:cs typeface="Segoe UI" panose="020B0502040204020203" pitchFamily="34" charset="0"/>
            </a:rPr>
            <a:t> employees</a:t>
          </a:r>
          <a:endParaRPr lang="en-US" sz="1050" b="1">
            <a:solidFill>
              <a:schemeClr val="accent3"/>
            </a:solidFill>
            <a:latin typeface="Segoe UI" panose="020B0502040204020203" pitchFamily="34" charset="0"/>
            <a:cs typeface="Segoe UI" panose="020B0502040204020203" pitchFamily="34" charset="0"/>
          </a:endParaRPr>
        </a:p>
      </xdr:txBody>
    </xdr:sp>
    <xdr:clientData/>
  </xdr:twoCellAnchor>
  <xdr:twoCellAnchor>
    <xdr:from>
      <xdr:col>6</xdr:col>
      <xdr:colOff>344364</xdr:colOff>
      <xdr:row>2</xdr:row>
      <xdr:rowOff>119897</xdr:rowOff>
    </xdr:from>
    <xdr:to>
      <xdr:col>8</xdr:col>
      <xdr:colOff>389072</xdr:colOff>
      <xdr:row>4</xdr:row>
      <xdr:rowOff>131885</xdr:rowOff>
    </xdr:to>
    <xdr:sp macro="" textlink="">
      <xdr:nvSpPr>
        <xdr:cNvPr id="31" name="TextBox 30">
          <a:extLst>
            <a:ext uri="{FF2B5EF4-FFF2-40B4-BE49-F238E27FC236}">
              <a16:creationId xmlns:a16="http://schemas.microsoft.com/office/drawing/2014/main" id="{1C0AD0FD-E03B-471E-81DA-CD24C688AD58}"/>
            </a:ext>
          </a:extLst>
        </xdr:cNvPr>
        <xdr:cNvSpPr txBox="1"/>
      </xdr:nvSpPr>
      <xdr:spPr>
        <a:xfrm>
          <a:off x="3993172" y="500897"/>
          <a:ext cx="1260977" cy="392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solidFill>
                <a:schemeClr val="accent3"/>
              </a:solidFill>
              <a:latin typeface="Segoe UI" panose="020B0502040204020203" pitchFamily="34" charset="0"/>
              <a:cs typeface="Segoe UI" panose="020B0502040204020203" pitchFamily="34" charset="0"/>
            </a:rPr>
            <a:t>Average  Salary</a:t>
          </a:r>
          <a:endParaRPr lang="en-US" sz="1000" b="1">
            <a:solidFill>
              <a:schemeClr val="accent3"/>
            </a:solidFill>
            <a:latin typeface="Segoe UI" panose="020B0502040204020203" pitchFamily="34" charset="0"/>
            <a:cs typeface="Segoe UI" panose="020B0502040204020203" pitchFamily="34" charset="0"/>
          </a:endParaRPr>
        </a:p>
      </xdr:txBody>
    </xdr:sp>
    <xdr:clientData/>
  </xdr:twoCellAnchor>
  <xdr:twoCellAnchor>
    <xdr:from>
      <xdr:col>9</xdr:col>
      <xdr:colOff>133530</xdr:colOff>
      <xdr:row>2</xdr:row>
      <xdr:rowOff>95135</xdr:rowOff>
    </xdr:from>
    <xdr:to>
      <xdr:col>11</xdr:col>
      <xdr:colOff>182127</xdr:colOff>
      <xdr:row>3</xdr:row>
      <xdr:rowOff>153268</xdr:rowOff>
    </xdr:to>
    <xdr:sp macro="" textlink="">
      <xdr:nvSpPr>
        <xdr:cNvPr id="32" name="TextBox 31">
          <a:extLst>
            <a:ext uri="{FF2B5EF4-FFF2-40B4-BE49-F238E27FC236}">
              <a16:creationId xmlns:a16="http://schemas.microsoft.com/office/drawing/2014/main" id="{E87133A6-EF02-4249-B80F-F712C974708C}"/>
            </a:ext>
          </a:extLst>
        </xdr:cNvPr>
        <xdr:cNvSpPr txBox="1"/>
      </xdr:nvSpPr>
      <xdr:spPr>
        <a:xfrm>
          <a:off x="5606742" y="476135"/>
          <a:ext cx="1264866" cy="248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baseline="0">
              <a:solidFill>
                <a:schemeClr val="accent3"/>
              </a:solidFill>
              <a:latin typeface="+mn-lt"/>
              <a:cs typeface="Segoe UI" panose="020B0502040204020203" pitchFamily="34" charset="0"/>
            </a:rPr>
            <a:t>Average </a:t>
          </a:r>
          <a:r>
            <a:rPr lang="en-US" sz="1100" b="1" baseline="0">
              <a:solidFill>
                <a:schemeClr val="accent3"/>
              </a:solidFill>
              <a:latin typeface="Segoe UI" panose="020B0502040204020203" pitchFamily="34" charset="0"/>
              <a:cs typeface="Segoe UI" panose="020B0502040204020203" pitchFamily="34" charset="0"/>
            </a:rPr>
            <a:t>Tenure</a:t>
          </a:r>
          <a:endParaRPr lang="en-US" sz="1100" b="1">
            <a:solidFill>
              <a:schemeClr val="accent3"/>
            </a:solidFill>
            <a:latin typeface="Segoe UI" panose="020B0502040204020203" pitchFamily="34" charset="0"/>
            <a:cs typeface="Segoe UI" panose="020B0502040204020203" pitchFamily="34" charset="0"/>
          </a:endParaRPr>
        </a:p>
      </xdr:txBody>
    </xdr:sp>
    <xdr:clientData/>
  </xdr:twoCellAnchor>
  <xdr:twoCellAnchor>
    <xdr:from>
      <xdr:col>12</xdr:col>
      <xdr:colOff>148931</xdr:colOff>
      <xdr:row>2</xdr:row>
      <xdr:rowOff>78017</xdr:rowOff>
    </xdr:from>
    <xdr:to>
      <xdr:col>14</xdr:col>
      <xdr:colOff>566116</xdr:colOff>
      <xdr:row>3</xdr:row>
      <xdr:rowOff>151174</xdr:rowOff>
    </xdr:to>
    <xdr:sp macro="" textlink="">
      <xdr:nvSpPr>
        <xdr:cNvPr id="33" name="TextBox 32">
          <a:extLst>
            <a:ext uri="{FF2B5EF4-FFF2-40B4-BE49-F238E27FC236}">
              <a16:creationId xmlns:a16="http://schemas.microsoft.com/office/drawing/2014/main" id="{0A3D15F2-8B47-4B67-AC18-BC376C002FD3}"/>
            </a:ext>
          </a:extLst>
        </xdr:cNvPr>
        <xdr:cNvSpPr txBox="1"/>
      </xdr:nvSpPr>
      <xdr:spPr>
        <a:xfrm>
          <a:off x="7446546" y="459017"/>
          <a:ext cx="1633455" cy="263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accent3"/>
              </a:solidFill>
              <a:latin typeface="Segoe UI" panose="020B0502040204020203" pitchFamily="34" charset="0"/>
              <a:cs typeface="Segoe UI" panose="020B0502040204020203" pitchFamily="34" charset="0"/>
            </a:rPr>
            <a:t>Job</a:t>
          </a:r>
          <a:r>
            <a:rPr lang="en-US" sz="1000" b="1" baseline="0">
              <a:solidFill>
                <a:schemeClr val="accent3"/>
              </a:solidFill>
              <a:latin typeface="Segoe UI" panose="020B0502040204020203" pitchFamily="34" charset="0"/>
              <a:cs typeface="Segoe UI" panose="020B0502040204020203" pitchFamily="34" charset="0"/>
            </a:rPr>
            <a:t> satisfaction %</a:t>
          </a:r>
          <a:endParaRPr lang="en-US" sz="1000" b="1">
            <a:solidFill>
              <a:schemeClr val="accent3"/>
            </a:solidFill>
            <a:latin typeface="Segoe UI" panose="020B0502040204020203" pitchFamily="34" charset="0"/>
            <a:cs typeface="Segoe UI" panose="020B0502040204020203" pitchFamily="34" charset="0"/>
          </a:endParaRPr>
        </a:p>
      </xdr:txBody>
    </xdr:sp>
    <xdr:clientData/>
  </xdr:twoCellAnchor>
  <xdr:twoCellAnchor>
    <xdr:from>
      <xdr:col>4</xdr:col>
      <xdr:colOff>55029</xdr:colOff>
      <xdr:row>3</xdr:row>
      <xdr:rowOff>149879</xdr:rowOff>
    </xdr:from>
    <xdr:to>
      <xdr:col>5</xdr:col>
      <xdr:colOff>536810</xdr:colOff>
      <xdr:row>5</xdr:row>
      <xdr:rowOff>99138</xdr:rowOff>
    </xdr:to>
    <xdr:sp macro="" textlink="'Pivot Tables'!E3">
      <xdr:nvSpPr>
        <xdr:cNvPr id="34" name="TextBox 33">
          <a:extLst>
            <a:ext uri="{FF2B5EF4-FFF2-40B4-BE49-F238E27FC236}">
              <a16:creationId xmlns:a16="http://schemas.microsoft.com/office/drawing/2014/main" id="{F2EEA232-A7F1-4051-BF59-17E7CA6C80AF}"/>
            </a:ext>
          </a:extLst>
        </xdr:cNvPr>
        <xdr:cNvSpPr txBox="1"/>
      </xdr:nvSpPr>
      <xdr:spPr>
        <a:xfrm>
          <a:off x="2487567" y="721379"/>
          <a:ext cx="1089916" cy="330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5A2CD36-00E8-491D-9680-9D16F14A1D9F}" type="TxLink">
            <a:rPr lang="en-US" sz="1600" b="1" i="0" u="none" strike="noStrike">
              <a:solidFill>
                <a:srgbClr val="000000"/>
              </a:solidFill>
              <a:latin typeface="Segoe UI" panose="020B0502040204020203" pitchFamily="34" charset="0"/>
              <a:cs typeface="Segoe UI" panose="020B0502040204020203" pitchFamily="34" charset="0"/>
            </a:rPr>
            <a:pPr algn="ctr"/>
            <a:t>369</a:t>
          </a:fld>
          <a:endParaRPr lang="en-US" sz="1600" b="1">
            <a:latin typeface="Segoe UI" panose="020B0502040204020203" pitchFamily="34" charset="0"/>
            <a:cs typeface="Segoe UI" panose="020B0502040204020203" pitchFamily="34" charset="0"/>
          </a:endParaRPr>
        </a:p>
      </xdr:txBody>
    </xdr:sp>
    <xdr:clientData/>
  </xdr:twoCellAnchor>
  <xdr:twoCellAnchor>
    <xdr:from>
      <xdr:col>6</xdr:col>
      <xdr:colOff>231919</xdr:colOff>
      <xdr:row>3</xdr:row>
      <xdr:rowOff>160652</xdr:rowOff>
    </xdr:from>
    <xdr:to>
      <xdr:col>8</xdr:col>
      <xdr:colOff>358272</xdr:colOff>
      <xdr:row>5</xdr:row>
      <xdr:rowOff>92408</xdr:rowOff>
    </xdr:to>
    <xdr:sp macro="" textlink="'Pivot Tables'!E4">
      <xdr:nvSpPr>
        <xdr:cNvPr id="36" name="TextBox 35">
          <a:extLst>
            <a:ext uri="{FF2B5EF4-FFF2-40B4-BE49-F238E27FC236}">
              <a16:creationId xmlns:a16="http://schemas.microsoft.com/office/drawing/2014/main" id="{05649D45-8C1D-4DCC-BD5B-994DCE91205B}"/>
            </a:ext>
          </a:extLst>
        </xdr:cNvPr>
        <xdr:cNvSpPr txBox="1"/>
      </xdr:nvSpPr>
      <xdr:spPr>
        <a:xfrm>
          <a:off x="3880727" y="732152"/>
          <a:ext cx="1342622" cy="312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0F579A-24A8-4AE6-ABC2-757D2FE43BDE}" type="TxLink">
            <a:rPr lang="en-US" sz="1600" b="1" i="0" u="none" strike="noStrike">
              <a:solidFill>
                <a:srgbClr val="000000"/>
              </a:solidFill>
              <a:latin typeface="Calibri"/>
              <a:cs typeface="Calibri"/>
            </a:rPr>
            <a:pPr algn="ctr"/>
            <a:t>$4,948 </a:t>
          </a:fld>
          <a:endParaRPr lang="en-US" sz="1600" b="1">
            <a:latin typeface="Segoe UI" panose="020B0502040204020203" pitchFamily="34" charset="0"/>
            <a:cs typeface="Segoe UI" panose="020B0502040204020203" pitchFamily="34" charset="0"/>
          </a:endParaRPr>
        </a:p>
      </xdr:txBody>
    </xdr:sp>
    <xdr:clientData/>
  </xdr:twoCellAnchor>
  <xdr:twoCellAnchor>
    <xdr:from>
      <xdr:col>9</xdr:col>
      <xdr:colOff>226986</xdr:colOff>
      <xdr:row>4</xdr:row>
      <xdr:rowOff>10977</xdr:rowOff>
    </xdr:from>
    <xdr:to>
      <xdr:col>11</xdr:col>
      <xdr:colOff>207547</xdr:colOff>
      <xdr:row>5</xdr:row>
      <xdr:rowOff>65493</xdr:rowOff>
    </xdr:to>
    <xdr:sp macro="" textlink="'Pivot Tables'!E5">
      <xdr:nvSpPr>
        <xdr:cNvPr id="38" name="TextBox 37">
          <a:extLst>
            <a:ext uri="{FF2B5EF4-FFF2-40B4-BE49-F238E27FC236}">
              <a16:creationId xmlns:a16="http://schemas.microsoft.com/office/drawing/2014/main" id="{06DBD937-7FA8-405F-BB8C-6E7B87AC80B7}"/>
            </a:ext>
          </a:extLst>
        </xdr:cNvPr>
        <xdr:cNvSpPr txBox="1"/>
      </xdr:nvSpPr>
      <xdr:spPr>
        <a:xfrm>
          <a:off x="5700198" y="772977"/>
          <a:ext cx="1196830" cy="245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59A4D7-0C95-4E90-981C-DF68DF1CE46B}" type="TxLink">
            <a:rPr lang="en-US" sz="2000" b="0" i="0" u="none" strike="noStrike">
              <a:solidFill>
                <a:srgbClr val="000000"/>
              </a:solidFill>
              <a:latin typeface="Segoe UI" panose="020B0502040204020203" pitchFamily="34" charset="0"/>
              <a:cs typeface="Segoe UI" panose="020B0502040204020203" pitchFamily="34" charset="0"/>
            </a:rPr>
            <a:pPr algn="ctr"/>
            <a:t>7.4</a:t>
          </a:fld>
          <a:endParaRPr lang="en-US" sz="2000" b="1">
            <a:latin typeface="Segoe UI" panose="020B0502040204020203" pitchFamily="34" charset="0"/>
            <a:cs typeface="Segoe UI" panose="020B0502040204020203" pitchFamily="34" charset="0"/>
          </a:endParaRPr>
        </a:p>
      </xdr:txBody>
    </xdr:sp>
    <xdr:clientData/>
  </xdr:twoCellAnchor>
  <xdr:twoCellAnchor>
    <xdr:from>
      <xdr:col>12</xdr:col>
      <xdr:colOff>510281</xdr:colOff>
      <xdr:row>3</xdr:row>
      <xdr:rowOff>139481</xdr:rowOff>
    </xdr:from>
    <xdr:to>
      <xdr:col>13</xdr:col>
      <xdr:colOff>563575</xdr:colOff>
      <xdr:row>4</xdr:row>
      <xdr:rowOff>187659</xdr:rowOff>
    </xdr:to>
    <xdr:sp macro="" textlink="'Pivot Tables'!E10">
      <xdr:nvSpPr>
        <xdr:cNvPr id="39" name="TextBox 38">
          <a:extLst>
            <a:ext uri="{FF2B5EF4-FFF2-40B4-BE49-F238E27FC236}">
              <a16:creationId xmlns:a16="http://schemas.microsoft.com/office/drawing/2014/main" id="{E39ABF43-B14C-461D-8C3C-EAD55A02814C}"/>
            </a:ext>
          </a:extLst>
        </xdr:cNvPr>
        <xdr:cNvSpPr txBox="1"/>
      </xdr:nvSpPr>
      <xdr:spPr>
        <a:xfrm>
          <a:off x="7807896" y="710981"/>
          <a:ext cx="661429" cy="238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C80509-1765-4D4B-BB03-0DA223C38925}" type="TxLink">
            <a:rPr lang="en-US" sz="2000" b="0" i="0" u="none" strike="noStrike">
              <a:solidFill>
                <a:srgbClr val="000000"/>
              </a:solidFill>
              <a:latin typeface="Calibri"/>
              <a:cs typeface="Calibri"/>
            </a:rPr>
            <a:pPr algn="ctr"/>
            <a:t>61%</a:t>
          </a:fld>
          <a:endParaRPr lang="en-US" sz="2000" b="1" i="0" u="none" strike="noStrike">
            <a:solidFill>
              <a:srgbClr val="000000"/>
            </a:solidFill>
            <a:latin typeface="Segoe UI" panose="020B0502040204020203" pitchFamily="34" charset="0"/>
            <a:cs typeface="Segoe UI" panose="020B0502040204020203" pitchFamily="34" charset="0"/>
          </a:endParaRPr>
        </a:p>
      </xdr:txBody>
    </xdr:sp>
    <xdr:clientData/>
  </xdr:twoCellAnchor>
  <xdr:twoCellAnchor>
    <xdr:from>
      <xdr:col>3</xdr:col>
      <xdr:colOff>381450</xdr:colOff>
      <xdr:row>8</xdr:row>
      <xdr:rowOff>31700</xdr:rowOff>
    </xdr:from>
    <xdr:to>
      <xdr:col>6</xdr:col>
      <xdr:colOff>470867</xdr:colOff>
      <xdr:row>27</xdr:row>
      <xdr:rowOff>124558</xdr:rowOff>
    </xdr:to>
    <xdr:graphicFrame macro="">
      <xdr:nvGraphicFramePr>
        <xdr:cNvPr id="50" name="Chart 49">
          <a:extLst>
            <a:ext uri="{FF2B5EF4-FFF2-40B4-BE49-F238E27FC236}">
              <a16:creationId xmlns:a16="http://schemas.microsoft.com/office/drawing/2014/main" id="{AB01592C-EB25-4DE1-BF30-F5826C0DE7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12590</xdr:colOff>
      <xdr:row>8</xdr:row>
      <xdr:rowOff>38812</xdr:rowOff>
    </xdr:from>
    <xdr:to>
      <xdr:col>11</xdr:col>
      <xdr:colOff>481390</xdr:colOff>
      <xdr:row>16</xdr:row>
      <xdr:rowOff>157903</xdr:rowOff>
    </xdr:to>
    <xdr:graphicFrame macro="">
      <xdr:nvGraphicFramePr>
        <xdr:cNvPr id="54" name="Chart 53">
          <a:extLst>
            <a:ext uri="{FF2B5EF4-FFF2-40B4-BE49-F238E27FC236}">
              <a16:creationId xmlns:a16="http://schemas.microsoft.com/office/drawing/2014/main" id="{E7594A45-35CA-4EA1-8AA3-7666F50DF9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597247</xdr:colOff>
      <xdr:row>8</xdr:row>
      <xdr:rowOff>25771</xdr:rowOff>
    </xdr:from>
    <xdr:to>
      <xdr:col>14</xdr:col>
      <xdr:colOff>500175</xdr:colOff>
      <xdr:row>17</xdr:row>
      <xdr:rowOff>9719</xdr:rowOff>
    </xdr:to>
    <mc:AlternateContent xmlns:mc="http://schemas.openxmlformats.org/markup-compatibility/2006">
      <mc:Choice xmlns:cx1="http://schemas.microsoft.com/office/drawing/2015/9/8/chartex" Requires="cx1">
        <xdr:graphicFrame macro="">
          <xdr:nvGraphicFramePr>
            <xdr:cNvPr id="55" name="Chart 54">
              <a:extLst>
                <a:ext uri="{FF2B5EF4-FFF2-40B4-BE49-F238E27FC236}">
                  <a16:creationId xmlns:a16="http://schemas.microsoft.com/office/drawing/2014/main" id="{F370E006-9985-4CCC-B15E-ED15F0EE945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302847" y="1549771"/>
              <a:ext cx="1731728" cy="16984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580112</xdr:colOff>
      <xdr:row>18</xdr:row>
      <xdr:rowOff>115856</xdr:rowOff>
    </xdr:from>
    <xdr:to>
      <xdr:col>14</xdr:col>
      <xdr:colOff>509894</xdr:colOff>
      <xdr:row>27</xdr:row>
      <xdr:rowOff>139212</xdr:rowOff>
    </xdr:to>
    <xdr:graphicFrame macro="">
      <xdr:nvGraphicFramePr>
        <xdr:cNvPr id="56" name="Chart 55">
          <a:extLst>
            <a:ext uri="{FF2B5EF4-FFF2-40B4-BE49-F238E27FC236}">
              <a16:creationId xmlns:a16="http://schemas.microsoft.com/office/drawing/2014/main" id="{C446A89A-0474-4DD2-8244-22993C345B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89297</xdr:colOff>
      <xdr:row>2</xdr:row>
      <xdr:rowOff>41909</xdr:rowOff>
    </xdr:from>
    <xdr:to>
      <xdr:col>3</xdr:col>
      <xdr:colOff>175846</xdr:colOff>
      <xdr:row>6</xdr:row>
      <xdr:rowOff>109904</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1B9D3B3D-49B2-42BA-B705-18E32E09F29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9297" y="422909"/>
              <a:ext cx="1910953" cy="829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xdr:row>
      <xdr:rowOff>183171</xdr:rowOff>
    </xdr:from>
    <xdr:to>
      <xdr:col>3</xdr:col>
      <xdr:colOff>175846</xdr:colOff>
      <xdr:row>18</xdr:row>
      <xdr:rowOff>161192</xdr:rowOff>
    </xdr:to>
    <mc:AlternateContent xmlns:mc="http://schemas.openxmlformats.org/markup-compatibility/2006" xmlns:a14="http://schemas.microsoft.com/office/drawing/2010/main">
      <mc:Choice Requires="a14">
        <xdr:graphicFrame macro="">
          <xdr:nvGraphicFramePr>
            <xdr:cNvPr id="41" name="Month 1">
              <a:extLst>
                <a:ext uri="{FF2B5EF4-FFF2-40B4-BE49-F238E27FC236}">
                  <a16:creationId xmlns:a16="http://schemas.microsoft.com/office/drawing/2014/main" id="{17605667-873E-45BF-AD01-EE0CF86C9CE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0" y="1516671"/>
              <a:ext cx="2000250" cy="20735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43961</xdr:colOff>
      <xdr:row>20</xdr:row>
      <xdr:rowOff>5951</xdr:rowOff>
    </xdr:from>
    <xdr:to>
      <xdr:col>3</xdr:col>
      <xdr:colOff>102577</xdr:colOff>
      <xdr:row>27</xdr:row>
      <xdr:rowOff>109904</xdr:rowOff>
    </xdr:to>
    <mc:AlternateContent xmlns:mc="http://schemas.openxmlformats.org/markup-compatibility/2006" xmlns:a14="http://schemas.microsoft.com/office/drawing/2010/main">
      <mc:Choice Requires="a14">
        <xdr:graphicFrame macro="">
          <xdr:nvGraphicFramePr>
            <xdr:cNvPr id="42" name="Job Title 1">
              <a:extLst>
                <a:ext uri="{FF2B5EF4-FFF2-40B4-BE49-F238E27FC236}">
                  <a16:creationId xmlns:a16="http://schemas.microsoft.com/office/drawing/2014/main" id="{3CD24D64-35EA-480C-8EF6-0B205CD9F629}"/>
                </a:ext>
              </a:extLst>
            </xdr:cNvPr>
            <xdr:cNvGraphicFramePr/>
          </xdr:nvGraphicFramePr>
          <xdr:xfrm>
            <a:off x="0" y="0"/>
            <a:ext cx="0" cy="0"/>
          </xdr:xfrm>
          <a:graphic>
            <a:graphicData uri="http://schemas.microsoft.com/office/drawing/2010/slicer">
              <sle:slicer xmlns:sle="http://schemas.microsoft.com/office/drawing/2010/slicer" name="Job Title 1"/>
            </a:graphicData>
          </a:graphic>
        </xdr:graphicFrame>
      </mc:Choice>
      <mc:Fallback xmlns="">
        <xdr:sp macro="" textlink="">
          <xdr:nvSpPr>
            <xdr:cNvPr id="0" name=""/>
            <xdr:cNvSpPr>
              <a:spLocks noTextEdit="1"/>
            </xdr:cNvSpPr>
          </xdr:nvSpPr>
          <xdr:spPr>
            <a:xfrm>
              <a:off x="43961" y="3815951"/>
              <a:ext cx="1883020" cy="14374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vy" refreshedDate="45237.746579398146" createdVersion="6" refreshedVersion="6" minRefreshableVersion="3" recordCount="32" xr:uid="{019A6E2D-D753-4A58-BC18-82446F5717A4}">
  <cacheSource type="worksheet">
    <worksheetSource name="Table_1"/>
  </cacheSource>
  <cacheFields count="9">
    <cacheField name="Month" numFmtId="0">
      <sharedItems count="18">
        <s v="Apr-22"/>
        <s v="Apr-23"/>
        <s v="Aug-22"/>
        <s v="Aug-23"/>
        <s v="Dec-22"/>
        <s v="Feb-23"/>
        <s v="Jan-23"/>
        <s v="Jul-22"/>
        <s v="Jul-23"/>
        <s v="Jun-22"/>
        <s v="Jun-23"/>
        <s v="Mar-23"/>
        <s v="May-22"/>
        <s v="May-23"/>
        <s v="Nov-22"/>
        <s v="Oct-22"/>
        <s v="Sep-22"/>
        <s v="Sep-23"/>
      </sharedItems>
    </cacheField>
    <cacheField name="Year" numFmtId="0">
      <sharedItems containsSemiMixedTypes="0" containsString="0" containsNumber="1" containsInteger="1" minValue="2022" maxValue="2023" count="2">
        <n v="2022"/>
        <n v="2023"/>
      </sharedItems>
    </cacheField>
    <cacheField name="Department" numFmtId="0">
      <sharedItems count="32">
        <s v="Apple"/>
        <s v="Pinterest"/>
        <s v="Zoom"/>
        <s v="Tiktok"/>
        <s v="Microsoft"/>
        <s v="Amazon"/>
        <s v="Reddit"/>
        <s v="Tencent"/>
        <s v="LinkedIn"/>
        <s v="Meta"/>
        <s v="Cisco"/>
        <s v="Oracle"/>
        <s v="Samsung"/>
        <s v="Broadcom"/>
        <s v="SAP"/>
        <s v="Salesforce"/>
        <s v="Facebook"/>
        <s v="Adobe"/>
        <s v="Intuit"/>
        <s v="Alphabet"/>
        <s v="Instagram"/>
        <s v="Shopify"/>
        <s v="Synopsis"/>
        <s v="Snapchat"/>
        <s v="Globe"/>
        <s v="Jobstreet"/>
        <s v="Messenger"/>
        <s v="Youtube"/>
        <s v="Twitter"/>
        <s v="Threads"/>
        <s v="Whatsapp"/>
        <s v="Viber"/>
      </sharedItems>
    </cacheField>
    <cacheField name="Job Title" numFmtId="0">
      <sharedItems count="4">
        <s v="Analyst"/>
        <s v="Technical Support"/>
        <s v="Manager"/>
        <s v="Security"/>
      </sharedItems>
    </cacheField>
    <cacheField name="Total Employees" numFmtId="0">
      <sharedItems containsSemiMixedTypes="0" containsString="0" containsNumber="1" containsInteger="1" minValue="8" maxValue="15"/>
    </cacheField>
    <cacheField name="Salary" numFmtId="164">
      <sharedItems containsSemiMixedTypes="0" containsString="0" containsNumber="1" containsInteger="1" minValue="1009" maxValue="9553"/>
    </cacheField>
    <cacheField name="Tenure (Years)" numFmtId="1">
      <sharedItems containsSemiMixedTypes="0" containsString="0" containsNumber="1" containsInteger="1" minValue="0" maxValue="15"/>
    </cacheField>
    <cacheField name="Job Satisfaction %" numFmtId="9">
      <sharedItems containsSemiMixedTypes="0" containsString="0" containsNumber="1" minValue="1.635921983259303E-2" maxValue="0.99837239762561092"/>
    </cacheField>
    <cacheField name="Job Unsatisfaction %" numFmtId="9">
      <sharedItems containsSemiMixedTypes="0" containsString="0" containsNumber="1" minValue="1.6276023743890811E-3" maxValue="0.98364078016740697"/>
    </cacheField>
  </cacheFields>
  <extLst>
    <ext xmlns:x14="http://schemas.microsoft.com/office/spreadsheetml/2009/9/main" uri="{725AE2AE-9491-48be-B2B4-4EB974FC3084}">
      <x14:pivotCacheDefinition pivotCacheId="10836642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n v="10"/>
    <n v="4091"/>
    <n v="7"/>
    <n v="0.91924637245536589"/>
    <n v="8.075362754463411E-2"/>
  </r>
  <r>
    <x v="1"/>
    <x v="0"/>
    <x v="1"/>
    <x v="1"/>
    <n v="9"/>
    <n v="5426"/>
    <n v="10"/>
    <n v="0.68210643699842555"/>
    <n v="0.31789356300157445"/>
  </r>
  <r>
    <x v="2"/>
    <x v="0"/>
    <x v="2"/>
    <x v="2"/>
    <n v="11"/>
    <n v="3750"/>
    <n v="6"/>
    <n v="0.5114082047966152"/>
    <n v="0.4885917952033848"/>
  </r>
  <r>
    <x v="3"/>
    <x v="0"/>
    <x v="3"/>
    <x v="3"/>
    <n v="10"/>
    <n v="3303"/>
    <n v="9"/>
    <n v="0.86008647452233189"/>
    <n v="0.13991352547766811"/>
  </r>
  <r>
    <x v="3"/>
    <x v="1"/>
    <x v="4"/>
    <x v="0"/>
    <n v="11"/>
    <n v="1222"/>
    <n v="9"/>
    <n v="0.12605476052252018"/>
    <n v="0.87394523947747982"/>
  </r>
  <r>
    <x v="3"/>
    <x v="1"/>
    <x v="5"/>
    <x v="1"/>
    <n v="14"/>
    <n v="3042"/>
    <n v="6"/>
    <n v="0.99085145279074383"/>
    <n v="9.1485472092561748E-3"/>
  </r>
  <r>
    <x v="4"/>
    <x v="1"/>
    <x v="6"/>
    <x v="2"/>
    <n v="11"/>
    <n v="1042"/>
    <n v="15"/>
    <n v="0.83918061515936171"/>
    <n v="0.16081938484063829"/>
  </r>
  <r>
    <x v="4"/>
    <x v="0"/>
    <x v="7"/>
    <x v="3"/>
    <n v="13"/>
    <n v="1009"/>
    <n v="3"/>
    <n v="0.29862687501213836"/>
    <n v="0.70137312498786164"/>
  </r>
  <r>
    <x v="5"/>
    <x v="1"/>
    <x v="8"/>
    <x v="0"/>
    <n v="15"/>
    <n v="7723"/>
    <n v="14"/>
    <n v="0.44871253653672771"/>
    <n v="0.55128746346327229"/>
  </r>
  <r>
    <x v="5"/>
    <x v="1"/>
    <x v="9"/>
    <x v="1"/>
    <n v="8"/>
    <n v="3460"/>
    <n v="15"/>
    <n v="0.17855366956963581"/>
    <n v="0.82144633043036419"/>
  </r>
  <r>
    <x v="5"/>
    <x v="1"/>
    <x v="10"/>
    <x v="2"/>
    <n v="15"/>
    <n v="4714"/>
    <n v="7"/>
    <n v="0.98520015489683865"/>
    <n v="1.4799845103161346E-2"/>
  </r>
  <r>
    <x v="5"/>
    <x v="1"/>
    <x v="11"/>
    <x v="3"/>
    <n v="13"/>
    <n v="7687"/>
    <n v="6"/>
    <n v="0.77010764015236965"/>
    <n v="0.22989235984763035"/>
  </r>
  <r>
    <x v="6"/>
    <x v="0"/>
    <x v="12"/>
    <x v="0"/>
    <n v="8"/>
    <n v="4520"/>
    <n v="4"/>
    <n v="0.31793347097861624"/>
    <n v="0.68206652902138376"/>
  </r>
  <r>
    <x v="6"/>
    <x v="1"/>
    <x v="13"/>
    <x v="1"/>
    <n v="9"/>
    <n v="8910"/>
    <n v="15"/>
    <n v="0.34957557803316219"/>
    <n v="0.65042442196683781"/>
  </r>
  <r>
    <x v="6"/>
    <x v="1"/>
    <x v="14"/>
    <x v="2"/>
    <n v="12"/>
    <n v="8649"/>
    <n v="0"/>
    <n v="0.27925542272758075"/>
    <n v="0.72074457727241925"/>
  </r>
  <r>
    <x v="6"/>
    <x v="1"/>
    <x v="15"/>
    <x v="3"/>
    <n v="15"/>
    <n v="7272"/>
    <n v="14"/>
    <n v="0.3832071380905353"/>
    <n v="0.6167928619094647"/>
  </r>
  <r>
    <x v="7"/>
    <x v="0"/>
    <x v="16"/>
    <x v="0"/>
    <n v="9"/>
    <n v="2717"/>
    <n v="1"/>
    <n v="0.99396944437784751"/>
    <n v="6.0305556221524892E-3"/>
  </r>
  <r>
    <x v="7"/>
    <x v="0"/>
    <x v="17"/>
    <x v="1"/>
    <n v="15"/>
    <n v="4681"/>
    <n v="8"/>
    <n v="0.9428564178516774"/>
    <n v="5.7143582148322603E-2"/>
  </r>
  <r>
    <x v="7"/>
    <x v="0"/>
    <x v="18"/>
    <x v="2"/>
    <n v="12"/>
    <n v="3805"/>
    <n v="5"/>
    <n v="0.98572656202663855"/>
    <n v="1.4273437973361447E-2"/>
  </r>
  <r>
    <x v="8"/>
    <x v="0"/>
    <x v="19"/>
    <x v="3"/>
    <n v="15"/>
    <n v="1693"/>
    <n v="1"/>
    <n v="0.38209194885983655"/>
    <n v="0.61790805114016345"/>
  </r>
  <r>
    <x v="9"/>
    <x v="0"/>
    <x v="20"/>
    <x v="0"/>
    <n v="10"/>
    <n v="5438"/>
    <n v="7"/>
    <n v="0.70934212242637462"/>
    <n v="0.29065787757362538"/>
  </r>
  <r>
    <x v="9"/>
    <x v="0"/>
    <x v="21"/>
    <x v="1"/>
    <n v="13"/>
    <n v="6459"/>
    <n v="9"/>
    <n v="0.4915050387025599"/>
    <n v="0.5084949612974401"/>
  </r>
  <r>
    <x v="9"/>
    <x v="0"/>
    <x v="22"/>
    <x v="2"/>
    <n v="10"/>
    <n v="5611"/>
    <n v="12"/>
    <n v="0.62542907676630399"/>
    <n v="0.37457092323369601"/>
  </r>
  <r>
    <x v="10"/>
    <x v="0"/>
    <x v="23"/>
    <x v="3"/>
    <n v="9"/>
    <n v="9491"/>
    <n v="4"/>
    <n v="0.66097490226774958"/>
    <n v="0.33902509773225042"/>
  </r>
  <r>
    <x v="10"/>
    <x v="1"/>
    <x v="24"/>
    <x v="0"/>
    <n v="15"/>
    <n v="9553"/>
    <n v="12"/>
    <n v="0.82813028529210675"/>
    <n v="0.17186971470789325"/>
  </r>
  <r>
    <x v="11"/>
    <x v="0"/>
    <x v="25"/>
    <x v="1"/>
    <n v="15"/>
    <n v="5324"/>
    <n v="7"/>
    <n v="0.71850471541493011"/>
    <n v="0.28149528458506989"/>
  </r>
  <r>
    <x v="12"/>
    <x v="0"/>
    <x v="26"/>
    <x v="2"/>
    <n v="8"/>
    <n v="2784"/>
    <n v="7"/>
    <n v="1.635921983259303E-2"/>
    <n v="0.98364078016740697"/>
  </r>
  <r>
    <x v="13"/>
    <x v="0"/>
    <x v="27"/>
    <x v="3"/>
    <n v="10"/>
    <n v="2837"/>
    <n v="10"/>
    <n v="0.88142317758680422"/>
    <n v="0.11857682241319578"/>
  </r>
  <r>
    <x v="14"/>
    <x v="0"/>
    <x v="28"/>
    <x v="0"/>
    <n v="11"/>
    <n v="8762"/>
    <n v="3"/>
    <n v="0.63115247266814389"/>
    <n v="0.36884752733185611"/>
  </r>
  <r>
    <x v="15"/>
    <x v="0"/>
    <x v="29"/>
    <x v="1"/>
    <n v="10"/>
    <n v="6442"/>
    <n v="9"/>
    <n v="2.2248393063721839E-2"/>
    <n v="0.97775160693627816"/>
  </r>
  <r>
    <x v="16"/>
    <x v="0"/>
    <x v="30"/>
    <x v="2"/>
    <n v="14"/>
    <n v="2876"/>
    <n v="2"/>
    <n v="0.99837239762561092"/>
    <n v="1.6276023743890811E-3"/>
  </r>
  <r>
    <x v="17"/>
    <x v="0"/>
    <x v="31"/>
    <x v="3"/>
    <n v="9"/>
    <n v="4027"/>
    <n v="1"/>
    <n v="0.57282925637132831"/>
    <n v="0.427170743628671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4F00A6-0B4B-4BD4-9ACD-7F4EB9CC8EF4}"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G4:H23" firstHeaderRow="1" firstDataRow="1" firstDataCol="1"/>
  <pivotFields count="9">
    <pivotField axis="axisRow"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showAll="0">
      <items count="5">
        <item x="0"/>
        <item x="2"/>
        <item x="3"/>
        <item x="1"/>
        <item t="default"/>
      </items>
    </pivotField>
    <pivotField dataField="1" showAll="0"/>
    <pivotField numFmtId="164" showAll="0"/>
    <pivotField numFmtId="1" showAll="0"/>
    <pivotField numFmtId="9" showAll="0"/>
    <pivotField numFmtId="9" showAll="0"/>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Total Employees" fld="4" baseField="0" baseItem="0"/>
  </dataFields>
  <chartFormats count="1">
    <chartFormat chart="8"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A62FF7-83E4-4ED9-8205-3087441EF2CD}" name="PivotTable6"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A10:B12"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showAll="0">
      <items count="5">
        <item x="0"/>
        <item x="2"/>
        <item x="3"/>
        <item x="1"/>
        <item t="default"/>
      </items>
    </pivotField>
    <pivotField showAll="0"/>
    <pivotField numFmtId="164" showAll="0"/>
    <pivotField numFmtId="1" showAll="0"/>
    <pivotField dataField="1" numFmtId="9" showAll="0"/>
    <pivotField dataField="1" numFmtId="9" showAll="0"/>
  </pivotFields>
  <rowFields count="1">
    <field x="-2"/>
  </rowFields>
  <rowItems count="2">
    <i>
      <x/>
    </i>
    <i i="1">
      <x v="1"/>
    </i>
  </rowItems>
  <colItems count="1">
    <i/>
  </colItems>
  <dataFields count="2">
    <dataField name="Average of Job Satisfaction %" fld="7" subtotal="average" baseField="0" baseItem="0"/>
    <dataField name="Average of Job Unsatisfaction %" fld="8" subtotal="average" baseField="0" baseItem="0"/>
  </dataFields>
  <formats count="1">
    <format dxfId="66">
      <pivotArea outline="0" collapsedLevelsAreSubtotals="1" fieldPosition="0"/>
    </format>
  </formats>
  <chartFormats count="3">
    <chartFormat chart="19" format="4" series="1">
      <pivotArea type="data" outline="0" fieldPosition="0">
        <references count="1">
          <reference field="4294967294" count="1" selected="0">
            <x v="0"/>
          </reference>
        </references>
      </pivotArea>
    </chartFormat>
    <chartFormat chart="19" format="5">
      <pivotArea type="data" outline="0" fieldPosition="0">
        <references count="1">
          <reference field="4294967294" count="1" selected="0">
            <x v="0"/>
          </reference>
        </references>
      </pivotArea>
    </chartFormat>
    <chartFormat chart="19" format="6">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E0633D-FE53-4A61-AEE1-C27A01C7BF83}" name="PivotTable4"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6"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showAll="0">
      <items count="5">
        <item x="0"/>
        <item x="2"/>
        <item x="3"/>
        <item x="1"/>
        <item t="default"/>
      </items>
    </pivotField>
    <pivotField dataField="1" showAll="0"/>
    <pivotField dataField="1" numFmtId="164" showAll="0"/>
    <pivotField dataField="1" numFmtId="1" showAll="0"/>
    <pivotField numFmtId="9" showAll="0"/>
    <pivotField numFmtId="9" showAll="0"/>
  </pivotFields>
  <rowFields count="1">
    <field x="-2"/>
  </rowFields>
  <rowItems count="3">
    <i>
      <x/>
    </i>
    <i i="1">
      <x v="1"/>
    </i>
    <i i="2">
      <x v="2"/>
    </i>
  </rowItems>
  <colItems count="1">
    <i/>
  </colItems>
  <dataFields count="3">
    <dataField name="Sum of Total Employees" fld="4" baseField="0" baseItem="0"/>
    <dataField name="Average of Salary" fld="5" subtotal="average" baseField="0" baseItem="0"/>
    <dataField name="Average of Tenure (Years)" fld="6" subtotal="average" baseField="0" baseItem="0"/>
  </dataFields>
  <formats count="5">
    <format dxfId="71">
      <pivotArea type="all" dataOnly="0" outline="0" fieldPosition="0"/>
    </format>
    <format dxfId="70">
      <pivotArea outline="0" collapsedLevelsAreSubtotals="1" fieldPosition="0"/>
    </format>
    <format dxfId="69">
      <pivotArea field="-2" type="button" dataOnly="0" labelOnly="1" outline="0" axis="axisRow" fieldPosition="0"/>
    </format>
    <format dxfId="68">
      <pivotArea dataOnly="0" labelOnly="1" outline="0" fieldPosition="0">
        <references count="1">
          <reference field="4294967294" count="3">
            <x v="0"/>
            <x v="1"/>
            <x v="2"/>
          </reference>
        </references>
      </pivotArea>
    </format>
    <format dxfId="67">
      <pivotArea dataOnly="0" labelOnly="1" grandCol="1" outline="0" axis="axisCol"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F0C5E3-0654-4485-B474-33F9E391CDD2}"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7:B22"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axis="axisRow" showAll="0">
      <items count="5">
        <item x="0"/>
        <item x="2"/>
        <item x="3"/>
        <item x="1"/>
        <item t="default"/>
      </items>
    </pivotField>
    <pivotField dataField="1" showAll="0"/>
    <pivotField numFmtId="164" showAll="0"/>
    <pivotField numFmtId="1" showAll="0"/>
    <pivotField numFmtId="9" showAll="0"/>
    <pivotField numFmtId="9" showAll="0"/>
  </pivotFields>
  <rowFields count="1">
    <field x="3"/>
  </rowFields>
  <rowItems count="5">
    <i>
      <x/>
    </i>
    <i>
      <x v="1"/>
    </i>
    <i>
      <x v="2"/>
    </i>
    <i>
      <x v="3"/>
    </i>
    <i t="grand">
      <x/>
    </i>
  </rowItems>
  <colItems count="1">
    <i/>
  </colItems>
  <dataFields count="1">
    <dataField name="Sum of Total Employees" fld="4"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86E067-77F4-4C11-9B4E-543C7E544590}"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J2:K35"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axis="axisRow" showAll="0">
      <items count="33">
        <item x="17"/>
        <item x="19"/>
        <item x="5"/>
        <item x="0"/>
        <item x="13"/>
        <item x="10"/>
        <item x="16"/>
        <item x="24"/>
        <item x="20"/>
        <item x="18"/>
        <item x="25"/>
        <item x="8"/>
        <item x="26"/>
        <item x="9"/>
        <item x="4"/>
        <item x="11"/>
        <item x="1"/>
        <item x="6"/>
        <item x="15"/>
        <item x="12"/>
        <item x="14"/>
        <item x="21"/>
        <item x="23"/>
        <item x="22"/>
        <item x="7"/>
        <item x="29"/>
        <item x="3"/>
        <item x="28"/>
        <item x="31"/>
        <item x="30"/>
        <item x="27"/>
        <item x="2"/>
        <item t="default"/>
      </items>
    </pivotField>
    <pivotField showAll="0">
      <items count="5">
        <item x="0"/>
        <item x="2"/>
        <item x="3"/>
        <item x="1"/>
        <item t="default"/>
      </items>
    </pivotField>
    <pivotField dataField="1" showAll="0"/>
    <pivotField numFmtId="164" showAll="0"/>
    <pivotField numFmtId="1" showAll="0"/>
    <pivotField numFmtId="9" showAll="0"/>
    <pivotField numFmtId="9" showAll="0"/>
  </pivotFields>
  <rowFields count="1">
    <field x="2"/>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Sum of Total Employees" fld="4" baseField="0" baseItem="0"/>
  </dataFields>
  <chartFormats count="1">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2675B6C-0E3D-4020-B306-B470BBDE0034}" sourceName="Month">
  <pivotTables>
    <pivotTable tabId="6" name="PivotTable4"/>
    <pivotTable tabId="6" name="PivotTable10"/>
    <pivotTable tabId="6" name="PivotTable6"/>
    <pivotTable tabId="6" name="PivotTable7"/>
    <pivotTable tabId="6" name="PivotTable9"/>
  </pivotTables>
  <data>
    <tabular pivotCacheId="1083664283">
      <items count="18">
        <i x="0" s="1"/>
        <i x="1" s="1"/>
        <i x="2" s="1"/>
        <i x="3" s="1"/>
        <i x="4" s="1"/>
        <i x="5" s="1"/>
        <i x="6" s="1"/>
        <i x="7" s="1"/>
        <i x="8" s="1"/>
        <i x="9" s="1"/>
        <i x="10" s="1"/>
        <i x="11" s="1"/>
        <i x="12" s="1"/>
        <i x="13" s="1"/>
        <i x="14" s="1"/>
        <i x="15" s="1"/>
        <i x="16" s="1"/>
        <i x="1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D77B323-2455-48D7-B2E7-038AE2BA01BC}" sourceName="Year">
  <pivotTables>
    <pivotTable tabId="6" name="PivotTable4"/>
    <pivotTable tabId="6" name="PivotTable10"/>
    <pivotTable tabId="6" name="PivotTable6"/>
    <pivotTable tabId="6" name="PivotTable7"/>
    <pivotTable tabId="6" name="PivotTable9"/>
  </pivotTables>
  <data>
    <tabular pivotCacheId="108366428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560B082E-2AD2-4043-8E99-D87C792F7C19}" sourceName="Job Title">
  <pivotTables>
    <pivotTable tabId="6" name="PivotTable4"/>
    <pivotTable tabId="6" name="PivotTable10"/>
    <pivotTable tabId="6" name="PivotTable6"/>
    <pivotTable tabId="6" name="PivotTable7"/>
    <pivotTable tabId="6" name="PivotTable9"/>
  </pivotTables>
  <data>
    <tabular pivotCacheId="1083664283">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66E3B53D-C162-4B32-A887-D734E2BDE52B}" cache="Slicer_Month" caption="Month" columnCount="3" style="SlicerStyleOther2" rowHeight="241300"/>
  <slicer name="Year 1" xr10:uid="{9FB8D786-BAEC-4C90-9D68-F38111EE63F4}" cache="Slicer_Year" caption="Year" style="SlicerStyleOther2" rowHeight="241300"/>
  <slicer name="Job Title 1" xr10:uid="{F4F10E7C-3F67-4732-990B-997E2F7480C4}" cache="Slicer_Job_Title" caption="Job Title"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I33">
  <tableColumns count="9">
    <tableColumn id="1" xr3:uid="{00000000-0010-0000-0000-000001000000}" name="Month"/>
    <tableColumn id="2" xr3:uid="{00000000-0010-0000-0000-000002000000}" name="Year"/>
    <tableColumn id="3" xr3:uid="{00000000-0010-0000-0000-000003000000}" name="Department"/>
    <tableColumn id="4" xr3:uid="{00000000-0010-0000-0000-000004000000}" name="Job Title"/>
    <tableColumn id="5" xr3:uid="{00000000-0010-0000-0000-000005000000}" name="Total Employees"/>
    <tableColumn id="6" xr3:uid="{00000000-0010-0000-0000-000006000000}" name="Salary"/>
    <tableColumn id="7" xr3:uid="{00000000-0010-0000-0000-000007000000}" name="Tenure (Years)"/>
    <tableColumn id="8" xr3:uid="{00000000-0010-0000-0000-000008000000}" name="Job Satisfaction %"/>
    <tableColumn id="9" xr3:uid="{00000000-0010-0000-0000-000009000000}" name="Job Unsatisfaction %"/>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00"/>
  <sheetViews>
    <sheetView workbookViewId="0">
      <pane ySplit="1" topLeftCell="A2" activePane="bottomLeft" state="frozen"/>
      <selection pane="bottomLeft" activeCell="O23" sqref="O23"/>
    </sheetView>
  </sheetViews>
  <sheetFormatPr defaultColWidth="14.42578125" defaultRowHeight="15" customHeight="1" x14ac:dyDescent="0.25"/>
  <cols>
    <col min="1" max="1" width="8.140625" customWidth="1"/>
    <col min="2" max="2" width="5.85546875" customWidth="1"/>
    <col min="3" max="3" width="13.7109375" customWidth="1"/>
    <col min="4" max="4" width="19.140625" customWidth="1"/>
    <col min="5" max="5" width="19" customWidth="1"/>
    <col min="6" max="6" width="7.85546875" customWidth="1"/>
    <col min="7" max="7" width="17" customWidth="1"/>
    <col min="8" max="8" width="20.5703125" customWidth="1"/>
    <col min="9" max="9" width="23.7109375" customWidth="1"/>
    <col min="10" max="26" width="8.7109375" customWidth="1"/>
  </cols>
  <sheetData>
    <row r="1" spans="1:9" ht="14.25" customHeight="1" x14ac:dyDescent="0.25">
      <c r="A1" s="1" t="s">
        <v>0</v>
      </c>
      <c r="B1" s="1" t="s">
        <v>1</v>
      </c>
      <c r="C1" s="1" t="s">
        <v>2</v>
      </c>
      <c r="D1" s="1" t="s">
        <v>3</v>
      </c>
      <c r="E1" s="1" t="s">
        <v>4</v>
      </c>
      <c r="F1" s="1" t="s">
        <v>5</v>
      </c>
      <c r="G1" s="2" t="s">
        <v>6</v>
      </c>
      <c r="H1" s="2" t="s">
        <v>7</v>
      </c>
      <c r="I1" s="2" t="s">
        <v>8</v>
      </c>
    </row>
    <row r="2" spans="1:9" ht="14.25" customHeight="1" x14ac:dyDescent="0.25">
      <c r="A2" s="3" t="s">
        <v>9</v>
      </c>
      <c r="B2" s="3">
        <v>2022</v>
      </c>
      <c r="C2" s="3" t="s">
        <v>10</v>
      </c>
      <c r="D2" s="3" t="s">
        <v>11</v>
      </c>
      <c r="E2" s="3">
        <v>10</v>
      </c>
      <c r="F2" s="4">
        <v>4091</v>
      </c>
      <c r="G2" s="5">
        <v>7</v>
      </c>
      <c r="H2" s="6">
        <v>0.91924637245536589</v>
      </c>
      <c r="I2" s="6">
        <v>8.075362754463411E-2</v>
      </c>
    </row>
    <row r="3" spans="1:9" ht="14.25" customHeight="1" x14ac:dyDescent="0.25">
      <c r="A3" s="3" t="s">
        <v>12</v>
      </c>
      <c r="B3" s="3">
        <v>2022</v>
      </c>
      <c r="C3" s="3" t="s">
        <v>13</v>
      </c>
      <c r="D3" s="3" t="s">
        <v>14</v>
      </c>
      <c r="E3" s="3">
        <v>9</v>
      </c>
      <c r="F3" s="4">
        <v>5426</v>
      </c>
      <c r="G3" s="5">
        <v>10</v>
      </c>
      <c r="H3" s="6">
        <v>0.68210643699842555</v>
      </c>
      <c r="I3" s="6">
        <v>0.31789356300157445</v>
      </c>
    </row>
    <row r="4" spans="1:9" ht="14.25" customHeight="1" x14ac:dyDescent="0.25">
      <c r="A4" s="3" t="s">
        <v>15</v>
      </c>
      <c r="B4" s="3">
        <v>2022</v>
      </c>
      <c r="C4" s="3" t="s">
        <v>16</v>
      </c>
      <c r="D4" s="3" t="s">
        <v>17</v>
      </c>
      <c r="E4" s="3">
        <v>11</v>
      </c>
      <c r="F4" s="4">
        <v>3750</v>
      </c>
      <c r="G4" s="5">
        <v>6</v>
      </c>
      <c r="H4" s="6">
        <v>0.5114082047966152</v>
      </c>
      <c r="I4" s="6">
        <v>0.4885917952033848</v>
      </c>
    </row>
    <row r="5" spans="1:9" ht="14.25" customHeight="1" x14ac:dyDescent="0.25">
      <c r="A5" s="3" t="s">
        <v>18</v>
      </c>
      <c r="B5" s="3">
        <v>2022</v>
      </c>
      <c r="C5" s="3" t="s">
        <v>19</v>
      </c>
      <c r="D5" s="3" t="s">
        <v>20</v>
      </c>
      <c r="E5" s="3">
        <v>10</v>
      </c>
      <c r="F5" s="4">
        <v>3303</v>
      </c>
      <c r="G5" s="5">
        <v>9</v>
      </c>
      <c r="H5" s="6">
        <v>0.86008647452233189</v>
      </c>
      <c r="I5" s="6">
        <v>0.13991352547766811</v>
      </c>
    </row>
    <row r="6" spans="1:9" ht="14.25" customHeight="1" x14ac:dyDescent="0.25">
      <c r="A6" s="3" t="s">
        <v>18</v>
      </c>
      <c r="B6" s="3">
        <v>2023</v>
      </c>
      <c r="C6" s="3" t="s">
        <v>21</v>
      </c>
      <c r="D6" s="3" t="s">
        <v>11</v>
      </c>
      <c r="E6" s="3">
        <v>11</v>
      </c>
      <c r="F6" s="4">
        <v>1222</v>
      </c>
      <c r="G6" s="5">
        <v>9</v>
      </c>
      <c r="H6" s="6">
        <v>0.12605476052252018</v>
      </c>
      <c r="I6" s="6">
        <v>0.87394523947747982</v>
      </c>
    </row>
    <row r="7" spans="1:9" ht="14.25" customHeight="1" x14ac:dyDescent="0.25">
      <c r="A7" s="3" t="s">
        <v>18</v>
      </c>
      <c r="B7" s="3">
        <v>2023</v>
      </c>
      <c r="C7" s="3" t="s">
        <v>22</v>
      </c>
      <c r="D7" s="3" t="s">
        <v>14</v>
      </c>
      <c r="E7" s="3">
        <v>14</v>
      </c>
      <c r="F7" s="4">
        <v>3042</v>
      </c>
      <c r="G7" s="5">
        <v>6</v>
      </c>
      <c r="H7" s="6">
        <v>0.99085145279074383</v>
      </c>
      <c r="I7" s="6">
        <v>9.1485472092561748E-3</v>
      </c>
    </row>
    <row r="8" spans="1:9" ht="14.25" customHeight="1" x14ac:dyDescent="0.25">
      <c r="A8" s="3" t="s">
        <v>23</v>
      </c>
      <c r="B8" s="3">
        <v>2023</v>
      </c>
      <c r="C8" s="3" t="s">
        <v>24</v>
      </c>
      <c r="D8" s="3" t="s">
        <v>17</v>
      </c>
      <c r="E8" s="3">
        <v>11</v>
      </c>
      <c r="F8" s="4">
        <v>1042</v>
      </c>
      <c r="G8" s="5">
        <v>15</v>
      </c>
      <c r="H8" s="6">
        <v>0.83918061515936171</v>
      </c>
      <c r="I8" s="6">
        <v>0.16081938484063829</v>
      </c>
    </row>
    <row r="9" spans="1:9" ht="14.25" customHeight="1" x14ac:dyDescent="0.25">
      <c r="A9" s="3" t="s">
        <v>23</v>
      </c>
      <c r="B9" s="3">
        <v>2022</v>
      </c>
      <c r="C9" s="3" t="s">
        <v>25</v>
      </c>
      <c r="D9" s="3" t="s">
        <v>20</v>
      </c>
      <c r="E9" s="3">
        <v>13</v>
      </c>
      <c r="F9" s="4">
        <v>1009</v>
      </c>
      <c r="G9" s="5">
        <v>3</v>
      </c>
      <c r="H9" s="6">
        <v>0.29862687501213836</v>
      </c>
      <c r="I9" s="6">
        <v>0.70137312498786164</v>
      </c>
    </row>
    <row r="10" spans="1:9" ht="14.25" customHeight="1" x14ac:dyDescent="0.25">
      <c r="A10" s="3" t="s">
        <v>26</v>
      </c>
      <c r="B10" s="3">
        <v>2023</v>
      </c>
      <c r="C10" s="3" t="s">
        <v>27</v>
      </c>
      <c r="D10" s="3" t="s">
        <v>11</v>
      </c>
      <c r="E10" s="3">
        <v>15</v>
      </c>
      <c r="F10" s="4">
        <v>7723</v>
      </c>
      <c r="G10" s="5">
        <v>14</v>
      </c>
      <c r="H10" s="6">
        <v>0.44871253653672771</v>
      </c>
      <c r="I10" s="6">
        <v>0.55128746346327229</v>
      </c>
    </row>
    <row r="11" spans="1:9" ht="14.25" customHeight="1" x14ac:dyDescent="0.25">
      <c r="A11" s="3" t="s">
        <v>26</v>
      </c>
      <c r="B11" s="3">
        <v>2023</v>
      </c>
      <c r="C11" s="3" t="s">
        <v>28</v>
      </c>
      <c r="D11" s="3" t="s">
        <v>14</v>
      </c>
      <c r="E11" s="3">
        <v>8</v>
      </c>
      <c r="F11" s="4">
        <v>3460</v>
      </c>
      <c r="G11" s="5">
        <v>15</v>
      </c>
      <c r="H11" s="6">
        <v>0.17855366956963581</v>
      </c>
      <c r="I11" s="6">
        <v>0.82144633043036419</v>
      </c>
    </row>
    <row r="12" spans="1:9" ht="14.25" customHeight="1" x14ac:dyDescent="0.25">
      <c r="A12" s="3" t="s">
        <v>26</v>
      </c>
      <c r="B12" s="3">
        <v>2023</v>
      </c>
      <c r="C12" s="3" t="s">
        <v>29</v>
      </c>
      <c r="D12" s="3" t="s">
        <v>17</v>
      </c>
      <c r="E12" s="3">
        <v>15</v>
      </c>
      <c r="F12" s="4">
        <v>4714</v>
      </c>
      <c r="G12" s="5">
        <v>7</v>
      </c>
      <c r="H12" s="6">
        <v>0.98520015489683865</v>
      </c>
      <c r="I12" s="6">
        <v>1.4799845103161346E-2</v>
      </c>
    </row>
    <row r="13" spans="1:9" ht="14.25" customHeight="1" x14ac:dyDescent="0.25">
      <c r="A13" s="3" t="s">
        <v>26</v>
      </c>
      <c r="B13" s="3">
        <v>2023</v>
      </c>
      <c r="C13" s="3" t="s">
        <v>30</v>
      </c>
      <c r="D13" s="3" t="s">
        <v>20</v>
      </c>
      <c r="E13" s="3">
        <v>13</v>
      </c>
      <c r="F13" s="4">
        <v>7687</v>
      </c>
      <c r="G13" s="5">
        <v>6</v>
      </c>
      <c r="H13" s="6">
        <v>0.77010764015236965</v>
      </c>
      <c r="I13" s="6">
        <v>0.22989235984763035</v>
      </c>
    </row>
    <row r="14" spans="1:9" ht="14.25" customHeight="1" x14ac:dyDescent="0.25">
      <c r="A14" s="3" t="s">
        <v>31</v>
      </c>
      <c r="B14" s="3">
        <v>2022</v>
      </c>
      <c r="C14" s="3" t="s">
        <v>32</v>
      </c>
      <c r="D14" s="3" t="s">
        <v>11</v>
      </c>
      <c r="E14" s="3">
        <v>8</v>
      </c>
      <c r="F14" s="4">
        <v>4520</v>
      </c>
      <c r="G14" s="5">
        <v>4</v>
      </c>
      <c r="H14" s="6">
        <v>0.31793347097861624</v>
      </c>
      <c r="I14" s="6">
        <v>0.68206652902138376</v>
      </c>
    </row>
    <row r="15" spans="1:9" ht="14.25" customHeight="1" x14ac:dyDescent="0.25">
      <c r="A15" s="3" t="s">
        <v>31</v>
      </c>
      <c r="B15" s="3">
        <v>2023</v>
      </c>
      <c r="C15" s="3" t="s">
        <v>33</v>
      </c>
      <c r="D15" s="3" t="s">
        <v>14</v>
      </c>
      <c r="E15" s="3">
        <v>9</v>
      </c>
      <c r="F15" s="4">
        <v>8910</v>
      </c>
      <c r="G15" s="5">
        <v>15</v>
      </c>
      <c r="H15" s="6">
        <v>0.34957557803316219</v>
      </c>
      <c r="I15" s="6">
        <v>0.65042442196683781</v>
      </c>
    </row>
    <row r="16" spans="1:9" ht="14.25" customHeight="1" x14ac:dyDescent="0.25">
      <c r="A16" s="3" t="s">
        <v>31</v>
      </c>
      <c r="B16" s="3">
        <v>2023</v>
      </c>
      <c r="C16" s="3" t="s">
        <v>34</v>
      </c>
      <c r="D16" s="3" t="s">
        <v>17</v>
      </c>
      <c r="E16" s="3">
        <v>12</v>
      </c>
      <c r="F16" s="4">
        <v>8649</v>
      </c>
      <c r="G16" s="5">
        <v>0</v>
      </c>
      <c r="H16" s="6">
        <v>0.27925542272758075</v>
      </c>
      <c r="I16" s="6">
        <v>0.72074457727241925</v>
      </c>
    </row>
    <row r="17" spans="1:9" ht="14.25" customHeight="1" x14ac:dyDescent="0.25">
      <c r="A17" s="3" t="s">
        <v>31</v>
      </c>
      <c r="B17" s="3">
        <v>2023</v>
      </c>
      <c r="C17" s="3" t="s">
        <v>35</v>
      </c>
      <c r="D17" s="3" t="s">
        <v>20</v>
      </c>
      <c r="E17" s="3">
        <v>15</v>
      </c>
      <c r="F17" s="4">
        <v>7272</v>
      </c>
      <c r="G17" s="5">
        <v>14</v>
      </c>
      <c r="H17" s="6">
        <v>0.3832071380905353</v>
      </c>
      <c r="I17" s="6">
        <v>0.6167928619094647</v>
      </c>
    </row>
    <row r="18" spans="1:9" ht="14.25" customHeight="1" x14ac:dyDescent="0.25">
      <c r="A18" s="3" t="s">
        <v>36</v>
      </c>
      <c r="B18" s="3">
        <v>2022</v>
      </c>
      <c r="C18" s="3" t="s">
        <v>37</v>
      </c>
      <c r="D18" s="3" t="s">
        <v>11</v>
      </c>
      <c r="E18" s="3">
        <v>9</v>
      </c>
      <c r="F18" s="4">
        <v>2717</v>
      </c>
      <c r="G18" s="5">
        <v>1</v>
      </c>
      <c r="H18" s="6">
        <v>0.99396944437784751</v>
      </c>
      <c r="I18" s="6">
        <v>6.0305556221524892E-3</v>
      </c>
    </row>
    <row r="19" spans="1:9" ht="14.25" customHeight="1" x14ac:dyDescent="0.25">
      <c r="A19" s="3" t="s">
        <v>36</v>
      </c>
      <c r="B19" s="3">
        <v>2022</v>
      </c>
      <c r="C19" s="3" t="s">
        <v>38</v>
      </c>
      <c r="D19" s="3" t="s">
        <v>14</v>
      </c>
      <c r="E19" s="3">
        <v>15</v>
      </c>
      <c r="F19" s="4">
        <v>4681</v>
      </c>
      <c r="G19" s="5">
        <v>8</v>
      </c>
      <c r="H19" s="6">
        <v>0.9428564178516774</v>
      </c>
      <c r="I19" s="6">
        <v>5.7143582148322603E-2</v>
      </c>
    </row>
    <row r="20" spans="1:9" ht="14.25" customHeight="1" x14ac:dyDescent="0.25">
      <c r="A20" s="3" t="s">
        <v>36</v>
      </c>
      <c r="B20" s="3">
        <v>2022</v>
      </c>
      <c r="C20" s="3" t="s">
        <v>39</v>
      </c>
      <c r="D20" s="3" t="s">
        <v>17</v>
      </c>
      <c r="E20" s="3">
        <v>12</v>
      </c>
      <c r="F20" s="4">
        <v>3805</v>
      </c>
      <c r="G20" s="5">
        <v>5</v>
      </c>
      <c r="H20" s="6">
        <v>0.98572656202663855</v>
      </c>
      <c r="I20" s="6">
        <v>1.4273437973361447E-2</v>
      </c>
    </row>
    <row r="21" spans="1:9" ht="14.25" customHeight="1" x14ac:dyDescent="0.25">
      <c r="A21" s="3" t="s">
        <v>40</v>
      </c>
      <c r="B21" s="3">
        <v>2022</v>
      </c>
      <c r="C21" s="3" t="s">
        <v>41</v>
      </c>
      <c r="D21" s="3" t="s">
        <v>20</v>
      </c>
      <c r="E21" s="3">
        <v>15</v>
      </c>
      <c r="F21" s="4">
        <v>1693</v>
      </c>
      <c r="G21" s="5">
        <v>1</v>
      </c>
      <c r="H21" s="6">
        <v>0.38209194885983655</v>
      </c>
      <c r="I21" s="6">
        <v>0.61790805114016345</v>
      </c>
    </row>
    <row r="22" spans="1:9" ht="14.25" customHeight="1" x14ac:dyDescent="0.25">
      <c r="A22" s="3" t="s">
        <v>42</v>
      </c>
      <c r="B22" s="3">
        <v>2022</v>
      </c>
      <c r="C22" s="3" t="s">
        <v>43</v>
      </c>
      <c r="D22" s="3" t="s">
        <v>11</v>
      </c>
      <c r="E22" s="3">
        <v>10</v>
      </c>
      <c r="F22" s="4">
        <v>5438</v>
      </c>
      <c r="G22" s="5">
        <v>7</v>
      </c>
      <c r="H22" s="6">
        <v>0.70934212242637462</v>
      </c>
      <c r="I22" s="6">
        <v>0.29065787757362538</v>
      </c>
    </row>
    <row r="23" spans="1:9" ht="14.25" customHeight="1" x14ac:dyDescent="0.25">
      <c r="A23" s="3" t="s">
        <v>42</v>
      </c>
      <c r="B23" s="3">
        <v>2022</v>
      </c>
      <c r="C23" s="3" t="s">
        <v>44</v>
      </c>
      <c r="D23" s="3" t="s">
        <v>14</v>
      </c>
      <c r="E23" s="3">
        <v>13</v>
      </c>
      <c r="F23" s="4">
        <v>6459</v>
      </c>
      <c r="G23" s="5">
        <v>9</v>
      </c>
      <c r="H23" s="6">
        <v>0.4915050387025599</v>
      </c>
      <c r="I23" s="6">
        <v>0.5084949612974401</v>
      </c>
    </row>
    <row r="24" spans="1:9" ht="14.25" customHeight="1" x14ac:dyDescent="0.25">
      <c r="A24" s="3" t="s">
        <v>42</v>
      </c>
      <c r="B24" s="3">
        <v>2022</v>
      </c>
      <c r="C24" s="3" t="s">
        <v>45</v>
      </c>
      <c r="D24" s="3" t="s">
        <v>17</v>
      </c>
      <c r="E24" s="3">
        <v>10</v>
      </c>
      <c r="F24" s="4">
        <v>5611</v>
      </c>
      <c r="G24" s="5">
        <v>12</v>
      </c>
      <c r="H24" s="6">
        <v>0.62542907676630399</v>
      </c>
      <c r="I24" s="6">
        <v>0.37457092323369601</v>
      </c>
    </row>
    <row r="25" spans="1:9" ht="14.25" customHeight="1" x14ac:dyDescent="0.25">
      <c r="A25" s="3" t="s">
        <v>46</v>
      </c>
      <c r="B25" s="3">
        <v>2022</v>
      </c>
      <c r="C25" s="3" t="s">
        <v>47</v>
      </c>
      <c r="D25" s="3" t="s">
        <v>20</v>
      </c>
      <c r="E25" s="3">
        <v>9</v>
      </c>
      <c r="F25" s="4">
        <v>9491</v>
      </c>
      <c r="G25" s="5">
        <v>4</v>
      </c>
      <c r="H25" s="6">
        <v>0.66097490226774958</v>
      </c>
      <c r="I25" s="6">
        <v>0.33902509773225042</v>
      </c>
    </row>
    <row r="26" spans="1:9" ht="14.25" customHeight="1" x14ac:dyDescent="0.25">
      <c r="A26" s="3" t="s">
        <v>46</v>
      </c>
      <c r="B26" s="3">
        <v>2023</v>
      </c>
      <c r="C26" s="3" t="s">
        <v>48</v>
      </c>
      <c r="D26" s="3" t="s">
        <v>11</v>
      </c>
      <c r="E26" s="3">
        <v>15</v>
      </c>
      <c r="F26" s="4">
        <v>9553</v>
      </c>
      <c r="G26" s="5">
        <v>12</v>
      </c>
      <c r="H26" s="6">
        <v>0.82813028529210675</v>
      </c>
      <c r="I26" s="6">
        <v>0.17186971470789325</v>
      </c>
    </row>
    <row r="27" spans="1:9" ht="14.25" customHeight="1" x14ac:dyDescent="0.25">
      <c r="A27" s="3" t="s">
        <v>49</v>
      </c>
      <c r="B27" s="3">
        <v>2022</v>
      </c>
      <c r="C27" s="3" t="s">
        <v>50</v>
      </c>
      <c r="D27" s="3" t="s">
        <v>14</v>
      </c>
      <c r="E27" s="3">
        <v>15</v>
      </c>
      <c r="F27" s="4">
        <v>5324</v>
      </c>
      <c r="G27" s="5">
        <v>7</v>
      </c>
      <c r="H27" s="6">
        <v>0.71850471541493011</v>
      </c>
      <c r="I27" s="6">
        <v>0.28149528458506989</v>
      </c>
    </row>
    <row r="28" spans="1:9" ht="14.25" customHeight="1" x14ac:dyDescent="0.25">
      <c r="A28" s="3" t="s">
        <v>51</v>
      </c>
      <c r="B28" s="3">
        <v>2022</v>
      </c>
      <c r="C28" s="3" t="s">
        <v>52</v>
      </c>
      <c r="D28" s="3" t="s">
        <v>17</v>
      </c>
      <c r="E28" s="3">
        <v>8</v>
      </c>
      <c r="F28" s="4">
        <v>2784</v>
      </c>
      <c r="G28" s="5">
        <v>7</v>
      </c>
      <c r="H28" s="6">
        <v>1.635921983259303E-2</v>
      </c>
      <c r="I28" s="6">
        <v>0.98364078016740697</v>
      </c>
    </row>
    <row r="29" spans="1:9" ht="14.25" customHeight="1" x14ac:dyDescent="0.25">
      <c r="A29" s="3" t="s">
        <v>53</v>
      </c>
      <c r="B29" s="3">
        <v>2022</v>
      </c>
      <c r="C29" s="3" t="s">
        <v>54</v>
      </c>
      <c r="D29" s="3" t="s">
        <v>20</v>
      </c>
      <c r="E29" s="3">
        <v>10</v>
      </c>
      <c r="F29" s="4">
        <v>2837</v>
      </c>
      <c r="G29" s="5">
        <v>10</v>
      </c>
      <c r="H29" s="6">
        <v>0.88142317758680422</v>
      </c>
      <c r="I29" s="6">
        <v>0.11857682241319578</v>
      </c>
    </row>
    <row r="30" spans="1:9" ht="14.25" customHeight="1" x14ac:dyDescent="0.25">
      <c r="A30" s="3" t="s">
        <v>55</v>
      </c>
      <c r="B30" s="3">
        <v>2022</v>
      </c>
      <c r="C30" s="3" t="s">
        <v>56</v>
      </c>
      <c r="D30" s="3" t="s">
        <v>11</v>
      </c>
      <c r="E30" s="3">
        <v>11</v>
      </c>
      <c r="F30" s="4">
        <v>8762</v>
      </c>
      <c r="G30" s="5">
        <v>3</v>
      </c>
      <c r="H30" s="6">
        <v>0.63115247266814389</v>
      </c>
      <c r="I30" s="6">
        <v>0.36884752733185611</v>
      </c>
    </row>
    <row r="31" spans="1:9" ht="14.25" customHeight="1" x14ac:dyDescent="0.25">
      <c r="A31" s="3" t="s">
        <v>57</v>
      </c>
      <c r="B31" s="3">
        <v>2022</v>
      </c>
      <c r="C31" s="3" t="s">
        <v>58</v>
      </c>
      <c r="D31" s="3" t="s">
        <v>14</v>
      </c>
      <c r="E31" s="3">
        <v>10</v>
      </c>
      <c r="F31" s="4">
        <v>6442</v>
      </c>
      <c r="G31" s="5">
        <v>9</v>
      </c>
      <c r="H31" s="6">
        <v>2.2248393063721839E-2</v>
      </c>
      <c r="I31" s="6">
        <v>0.97775160693627816</v>
      </c>
    </row>
    <row r="32" spans="1:9" ht="14.25" customHeight="1" x14ac:dyDescent="0.25">
      <c r="A32" s="3" t="s">
        <v>59</v>
      </c>
      <c r="B32" s="3">
        <v>2022</v>
      </c>
      <c r="C32" s="3" t="s">
        <v>60</v>
      </c>
      <c r="D32" s="3" t="s">
        <v>17</v>
      </c>
      <c r="E32" s="3">
        <v>14</v>
      </c>
      <c r="F32" s="4">
        <v>2876</v>
      </c>
      <c r="G32" s="5">
        <v>2</v>
      </c>
      <c r="H32" s="6">
        <v>0.99837239762561092</v>
      </c>
      <c r="I32" s="6">
        <v>1.6276023743890811E-3</v>
      </c>
    </row>
    <row r="33" spans="1:9" ht="14.25" customHeight="1" x14ac:dyDescent="0.25">
      <c r="A33" s="3" t="s">
        <v>61</v>
      </c>
      <c r="B33" s="3">
        <v>2022</v>
      </c>
      <c r="C33" s="3" t="s">
        <v>62</v>
      </c>
      <c r="D33" s="3" t="s">
        <v>20</v>
      </c>
      <c r="E33" s="3">
        <v>9</v>
      </c>
      <c r="F33" s="4">
        <v>4027</v>
      </c>
      <c r="G33" s="5">
        <v>1</v>
      </c>
      <c r="H33" s="6">
        <v>0.57282925637132831</v>
      </c>
      <c r="I33" s="6">
        <v>0.42717074362867169</v>
      </c>
    </row>
    <row r="34" spans="1:9" ht="14.25" customHeight="1" x14ac:dyDescent="0.25"/>
    <row r="35" spans="1:9" ht="14.25" customHeight="1" x14ac:dyDescent="0.25"/>
    <row r="36" spans="1:9" ht="14.25" customHeight="1" x14ac:dyDescent="0.25"/>
    <row r="37" spans="1:9" ht="14.25" customHeight="1" x14ac:dyDescent="0.25"/>
    <row r="38" spans="1:9" ht="14.25" customHeight="1" x14ac:dyDescent="0.25"/>
    <row r="39" spans="1:9" ht="14.25" customHeight="1" x14ac:dyDescent="0.25"/>
    <row r="40" spans="1:9" ht="14.25" customHeight="1" x14ac:dyDescent="0.25"/>
    <row r="41" spans="1:9" ht="14.25" customHeight="1" x14ac:dyDescent="0.25"/>
    <row r="42" spans="1:9" ht="14.25" customHeight="1" x14ac:dyDescent="0.25"/>
    <row r="43" spans="1:9" ht="14.25" customHeight="1" x14ac:dyDescent="0.25"/>
    <row r="44" spans="1:9" ht="14.25" customHeight="1" x14ac:dyDescent="0.25"/>
    <row r="45" spans="1:9" ht="14.25" customHeight="1" x14ac:dyDescent="0.25"/>
    <row r="46" spans="1:9" ht="14.25" customHeight="1" x14ac:dyDescent="0.25"/>
    <row r="47" spans="1:9" ht="14.25" customHeight="1" x14ac:dyDescent="0.25"/>
    <row r="48" spans="1:9"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conditionalFormatting sqref="G1:I33">
    <cfRule type="containsText" dxfId="72" priority="1" operator="containsText" text="MULTI LINGUAL">
      <formula>NOT(ISERROR(SEARCH(("MULTI LINGUAL"),(G1))))</formula>
    </cfRule>
  </conditionalFormatting>
  <pageMargins left="0.7" right="0.7" top="0.75" bottom="0.75" header="0" footer="0"/>
  <pageSetup orientation="portrait"/>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AAC4A-099A-4FBE-8891-543B2CFFFFE6}">
  <dimension ref="A2:P35"/>
  <sheetViews>
    <sheetView tabSelected="1" workbookViewId="0">
      <selection activeCell="D17" sqref="D17"/>
    </sheetView>
  </sheetViews>
  <sheetFormatPr defaultRowHeight="15" x14ac:dyDescent="0.25"/>
  <cols>
    <col min="1" max="1" width="29.7109375" bestFit="1" customWidth="1"/>
    <col min="2" max="2" width="4.5703125" bestFit="1" customWidth="1"/>
    <col min="3" max="3" width="17.5703125" customWidth="1"/>
    <col min="4" max="4" width="32.7109375" customWidth="1"/>
    <col min="5" max="5" width="20.85546875" customWidth="1"/>
    <col min="6" max="6" width="19.42578125" customWidth="1"/>
    <col min="7" max="7" width="13.140625" bestFit="1" customWidth="1"/>
    <col min="8" max="8" width="22.5703125" bestFit="1" customWidth="1"/>
    <col min="9" max="9" width="20.42578125" customWidth="1"/>
    <col min="10" max="10" width="13.140625" bestFit="1" customWidth="1"/>
    <col min="11" max="11" width="22.5703125" bestFit="1" customWidth="1"/>
  </cols>
  <sheetData>
    <row r="2" spans="1:16" x14ac:dyDescent="0.25">
      <c r="J2" s="11" t="s">
        <v>70</v>
      </c>
      <c r="K2" s="9" t="s">
        <v>64</v>
      </c>
    </row>
    <row r="3" spans="1:16" x14ac:dyDescent="0.25">
      <c r="A3" s="20" t="s">
        <v>65</v>
      </c>
      <c r="B3" s="17"/>
      <c r="C3" s="8"/>
      <c r="D3" s="30" t="s">
        <v>64</v>
      </c>
      <c r="E3" s="28">
        <f>GETPIVOTDATA("Sum of Total Employees",$A$3)</f>
        <v>369</v>
      </c>
      <c r="J3" s="12" t="s">
        <v>38</v>
      </c>
      <c r="K3" s="13">
        <v>15</v>
      </c>
      <c r="P3" s="13"/>
    </row>
    <row r="4" spans="1:16" x14ac:dyDescent="0.25">
      <c r="A4" s="21" t="s">
        <v>64</v>
      </c>
      <c r="B4" s="17">
        <v>369</v>
      </c>
      <c r="C4" s="12"/>
      <c r="D4" s="27" t="s">
        <v>66</v>
      </c>
      <c r="E4" s="29">
        <f>GETPIVOTDATA("Average of Salary",$A$3)</f>
        <v>4947.5</v>
      </c>
      <c r="G4" s="11" t="s">
        <v>70</v>
      </c>
      <c r="H4" s="9" t="s">
        <v>64</v>
      </c>
      <c r="J4" s="14" t="s">
        <v>41</v>
      </c>
      <c r="K4" s="15">
        <v>15</v>
      </c>
      <c r="P4" s="15"/>
    </row>
    <row r="5" spans="1:16" x14ac:dyDescent="0.25">
      <c r="A5" s="22" t="s">
        <v>66</v>
      </c>
      <c r="B5" s="18">
        <v>4947.5</v>
      </c>
      <c r="C5" s="14"/>
      <c r="D5" s="27" t="s">
        <v>67</v>
      </c>
      <c r="E5" s="31">
        <f>GETPIVOTDATA("Average of Tenure (Years)",$A$3)</f>
        <v>7.4375</v>
      </c>
      <c r="G5" s="12" t="s">
        <v>9</v>
      </c>
      <c r="H5" s="13">
        <v>10</v>
      </c>
      <c r="J5" s="14" t="s">
        <v>22</v>
      </c>
      <c r="K5" s="15">
        <v>14</v>
      </c>
      <c r="P5" s="15"/>
    </row>
    <row r="6" spans="1:16" x14ac:dyDescent="0.25">
      <c r="A6" s="23" t="s">
        <v>67</v>
      </c>
      <c r="B6" s="19">
        <v>7.4375</v>
      </c>
      <c r="C6" s="16"/>
      <c r="G6" s="14" t="s">
        <v>12</v>
      </c>
      <c r="H6" s="15">
        <v>9</v>
      </c>
      <c r="J6" s="14" t="s">
        <v>10</v>
      </c>
      <c r="K6" s="15">
        <v>10</v>
      </c>
      <c r="P6" s="15"/>
    </row>
    <row r="7" spans="1:16" x14ac:dyDescent="0.25">
      <c r="G7" s="14" t="s">
        <v>15</v>
      </c>
      <c r="H7" s="15">
        <v>11</v>
      </c>
      <c r="J7" s="14" t="s">
        <v>33</v>
      </c>
      <c r="K7" s="15">
        <v>9</v>
      </c>
      <c r="P7" s="10"/>
    </row>
    <row r="8" spans="1:16" x14ac:dyDescent="0.25">
      <c r="G8" s="14" t="s">
        <v>18</v>
      </c>
      <c r="H8" s="15">
        <v>35</v>
      </c>
      <c r="J8" s="14" t="s">
        <v>29</v>
      </c>
      <c r="K8" s="15">
        <v>15</v>
      </c>
    </row>
    <row r="9" spans="1:16" x14ac:dyDescent="0.25">
      <c r="G9" s="14" t="s">
        <v>23</v>
      </c>
      <c r="H9" s="15">
        <v>24</v>
      </c>
      <c r="J9" s="14" t="s">
        <v>37</v>
      </c>
      <c r="K9" s="15">
        <v>9</v>
      </c>
    </row>
    <row r="10" spans="1:16" x14ac:dyDescent="0.25">
      <c r="A10" s="11" t="s">
        <v>65</v>
      </c>
      <c r="B10" s="9"/>
      <c r="D10" s="32" t="s">
        <v>68</v>
      </c>
      <c r="E10" s="33">
        <f>GETPIVOTDATA("Average of Job Satisfaction %",$A$10)</f>
        <v>0.60628194482428743</v>
      </c>
      <c r="G10" s="14" t="s">
        <v>26</v>
      </c>
      <c r="H10" s="15">
        <v>51</v>
      </c>
      <c r="J10" s="14" t="s">
        <v>48</v>
      </c>
      <c r="K10" s="15">
        <v>15</v>
      </c>
    </row>
    <row r="11" spans="1:16" x14ac:dyDescent="0.25">
      <c r="A11" s="12" t="s">
        <v>68</v>
      </c>
      <c r="B11" s="24">
        <v>0.60628194482428743</v>
      </c>
      <c r="D11" s="32" t="s">
        <v>69</v>
      </c>
      <c r="E11" s="33">
        <f>GETPIVOTDATA("Average of Job Unsatisfaction %",$A$10)</f>
        <v>0.39371805517571268</v>
      </c>
      <c r="G11" s="14" t="s">
        <v>31</v>
      </c>
      <c r="H11" s="15">
        <v>44</v>
      </c>
      <c r="J11" s="14" t="s">
        <v>43</v>
      </c>
      <c r="K11" s="15">
        <v>10</v>
      </c>
    </row>
    <row r="12" spans="1:16" x14ac:dyDescent="0.25">
      <c r="A12" s="16" t="s">
        <v>69</v>
      </c>
      <c r="B12" s="25">
        <v>0.39371805517571268</v>
      </c>
      <c r="G12" s="14" t="s">
        <v>36</v>
      </c>
      <c r="H12" s="15">
        <v>36</v>
      </c>
      <c r="J12" s="14" t="s">
        <v>39</v>
      </c>
      <c r="K12" s="15">
        <v>12</v>
      </c>
    </row>
    <row r="13" spans="1:16" x14ac:dyDescent="0.25">
      <c r="G13" s="14" t="s">
        <v>40</v>
      </c>
      <c r="H13" s="15">
        <v>15</v>
      </c>
      <c r="J13" s="14" t="s">
        <v>50</v>
      </c>
      <c r="K13" s="15">
        <v>15</v>
      </c>
    </row>
    <row r="14" spans="1:16" x14ac:dyDescent="0.25">
      <c r="G14" s="14" t="s">
        <v>42</v>
      </c>
      <c r="H14" s="15">
        <v>33</v>
      </c>
      <c r="J14" s="14" t="s">
        <v>27</v>
      </c>
      <c r="K14" s="15">
        <v>15</v>
      </c>
    </row>
    <row r="15" spans="1:16" x14ac:dyDescent="0.25">
      <c r="G15" s="14" t="s">
        <v>46</v>
      </c>
      <c r="H15" s="15">
        <v>24</v>
      </c>
      <c r="J15" s="14" t="s">
        <v>52</v>
      </c>
      <c r="K15" s="15">
        <v>8</v>
      </c>
    </row>
    <row r="16" spans="1:16" x14ac:dyDescent="0.25">
      <c r="G16" s="14" t="s">
        <v>49</v>
      </c>
      <c r="H16" s="15">
        <v>15</v>
      </c>
      <c r="J16" s="14" t="s">
        <v>28</v>
      </c>
      <c r="K16" s="15">
        <v>8</v>
      </c>
    </row>
    <row r="17" spans="1:11" x14ac:dyDescent="0.25">
      <c r="A17" s="11" t="s">
        <v>70</v>
      </c>
      <c r="B17" s="9" t="s">
        <v>64</v>
      </c>
      <c r="D17" s="32" t="s">
        <v>11</v>
      </c>
      <c r="E17" s="28">
        <f>GETPIVOTDATA("Total Employees",$A$17,"Job Title","Analyst")</f>
        <v>89</v>
      </c>
      <c r="G17" s="14" t="s">
        <v>51</v>
      </c>
      <c r="H17" s="15">
        <v>8</v>
      </c>
      <c r="J17" s="14" t="s">
        <v>21</v>
      </c>
      <c r="K17" s="15">
        <v>11</v>
      </c>
    </row>
    <row r="18" spans="1:11" x14ac:dyDescent="0.25">
      <c r="A18" s="12" t="s">
        <v>11</v>
      </c>
      <c r="B18" s="13">
        <v>89</v>
      </c>
      <c r="D18" s="32" t="s">
        <v>17</v>
      </c>
      <c r="E18" s="28">
        <f>GETPIVOTDATA("Total Employees",$A$17,"Job Title","Manager")</f>
        <v>93</v>
      </c>
      <c r="G18" s="14" t="s">
        <v>53</v>
      </c>
      <c r="H18" s="15">
        <v>10</v>
      </c>
      <c r="J18" s="14" t="s">
        <v>30</v>
      </c>
      <c r="K18" s="15">
        <v>13</v>
      </c>
    </row>
    <row r="19" spans="1:11" x14ac:dyDescent="0.25">
      <c r="A19" s="14" t="s">
        <v>17</v>
      </c>
      <c r="B19" s="15">
        <v>93</v>
      </c>
      <c r="D19" s="32" t="s">
        <v>20</v>
      </c>
      <c r="E19" s="28">
        <f>GETPIVOTDATA("Total Employees",$A$17,"Job Title","Security")</f>
        <v>94</v>
      </c>
      <c r="G19" s="14" t="s">
        <v>55</v>
      </c>
      <c r="H19" s="15">
        <v>11</v>
      </c>
      <c r="J19" s="14" t="s">
        <v>13</v>
      </c>
      <c r="K19" s="15">
        <v>9</v>
      </c>
    </row>
    <row r="20" spans="1:11" x14ac:dyDescent="0.25">
      <c r="A20" s="14" t="s">
        <v>20</v>
      </c>
      <c r="B20" s="15">
        <v>94</v>
      </c>
      <c r="D20" s="32" t="s">
        <v>14</v>
      </c>
      <c r="E20" s="28">
        <f>GETPIVOTDATA("Total Employees",$A$17,"Job Title","Technical Support")</f>
        <v>93</v>
      </c>
      <c r="G20" s="14" t="s">
        <v>57</v>
      </c>
      <c r="H20" s="15">
        <v>10</v>
      </c>
      <c r="J20" s="14" t="s">
        <v>24</v>
      </c>
      <c r="K20" s="15">
        <v>11</v>
      </c>
    </row>
    <row r="21" spans="1:11" x14ac:dyDescent="0.25">
      <c r="A21" s="14" t="s">
        <v>14</v>
      </c>
      <c r="B21" s="15">
        <v>93</v>
      </c>
      <c r="G21" s="14" t="s">
        <v>59</v>
      </c>
      <c r="H21" s="15">
        <v>14</v>
      </c>
      <c r="J21" s="14" t="s">
        <v>35</v>
      </c>
      <c r="K21" s="15">
        <v>15</v>
      </c>
    </row>
    <row r="22" spans="1:11" x14ac:dyDescent="0.25">
      <c r="A22" s="26" t="s">
        <v>71</v>
      </c>
      <c r="B22" s="10">
        <v>369</v>
      </c>
      <c r="G22" s="14" t="s">
        <v>61</v>
      </c>
      <c r="H22" s="15">
        <v>9</v>
      </c>
      <c r="J22" s="14" t="s">
        <v>32</v>
      </c>
      <c r="K22" s="15">
        <v>8</v>
      </c>
    </row>
    <row r="23" spans="1:11" x14ac:dyDescent="0.25">
      <c r="G23" s="26" t="s">
        <v>71</v>
      </c>
      <c r="H23" s="10">
        <v>369</v>
      </c>
      <c r="J23" s="14" t="s">
        <v>34</v>
      </c>
      <c r="K23" s="15">
        <v>12</v>
      </c>
    </row>
    <row r="24" spans="1:11" x14ac:dyDescent="0.25">
      <c r="J24" s="14" t="s">
        <v>44</v>
      </c>
      <c r="K24" s="15">
        <v>13</v>
      </c>
    </row>
    <row r="25" spans="1:11" x14ac:dyDescent="0.25">
      <c r="J25" s="14" t="s">
        <v>47</v>
      </c>
      <c r="K25" s="15">
        <v>9</v>
      </c>
    </row>
    <row r="26" spans="1:11" x14ac:dyDescent="0.25">
      <c r="J26" s="14" t="s">
        <v>45</v>
      </c>
      <c r="K26" s="15">
        <v>10</v>
      </c>
    </row>
    <row r="27" spans="1:11" x14ac:dyDescent="0.25">
      <c r="J27" s="14" t="s">
        <v>25</v>
      </c>
      <c r="K27" s="15">
        <v>13</v>
      </c>
    </row>
    <row r="28" spans="1:11" x14ac:dyDescent="0.25">
      <c r="J28" s="14" t="s">
        <v>58</v>
      </c>
      <c r="K28" s="15">
        <v>10</v>
      </c>
    </row>
    <row r="29" spans="1:11" x14ac:dyDescent="0.25">
      <c r="J29" s="14" t="s">
        <v>19</v>
      </c>
      <c r="K29" s="15">
        <v>10</v>
      </c>
    </row>
    <row r="30" spans="1:11" x14ac:dyDescent="0.25">
      <c r="J30" s="14" t="s">
        <v>56</v>
      </c>
      <c r="K30" s="15">
        <v>11</v>
      </c>
    </row>
    <row r="31" spans="1:11" x14ac:dyDescent="0.25">
      <c r="J31" s="14" t="s">
        <v>62</v>
      </c>
      <c r="K31" s="15">
        <v>9</v>
      </c>
    </row>
    <row r="32" spans="1:11" x14ac:dyDescent="0.25">
      <c r="J32" s="14" t="s">
        <v>60</v>
      </c>
      <c r="K32" s="15">
        <v>14</v>
      </c>
    </row>
    <row r="33" spans="10:11" x14ac:dyDescent="0.25">
      <c r="J33" s="14" t="s">
        <v>54</v>
      </c>
      <c r="K33" s="15">
        <v>10</v>
      </c>
    </row>
    <row r="34" spans="10:11" x14ac:dyDescent="0.25">
      <c r="J34" s="14" t="s">
        <v>16</v>
      </c>
      <c r="K34" s="15">
        <v>11</v>
      </c>
    </row>
    <row r="35" spans="10:11" x14ac:dyDescent="0.25">
      <c r="J35" s="26" t="s">
        <v>71</v>
      </c>
      <c r="K35" s="10">
        <v>369</v>
      </c>
    </row>
  </sheetData>
  <pageMargins left="0.7" right="0.7" top="0.75" bottom="0.75" header="0.3" footer="0.3"/>
  <pageSetup orientation="portrait" horizontalDpi="0" verticalDpi="0"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E06E4-3FE4-424E-AA70-A906FA23FB6E}">
  <dimension ref="E6:P20"/>
  <sheetViews>
    <sheetView showGridLines="0" zoomScale="130" zoomScaleNormal="130" workbookViewId="0">
      <selection activeCell="P6" sqref="P6"/>
    </sheetView>
  </sheetViews>
  <sheetFormatPr defaultRowHeight="15" x14ac:dyDescent="0.25"/>
  <cols>
    <col min="1" max="16384" width="9.140625" style="7"/>
  </cols>
  <sheetData>
    <row r="6" spans="5:5" x14ac:dyDescent="0.25">
      <c r="E6" s="7" t="s">
        <v>63</v>
      </c>
    </row>
    <row r="20" spans="16:16" x14ac:dyDescent="0.25">
      <c r="P20" s="34"/>
    </row>
  </sheetData>
  <pageMargins left="0.7" right="0.7" top="0.75" bottom="0.75" header="0.3" footer="0.3"/>
  <pageSetup orientation="portrait" horizontalDpi="0" verticalDpi="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Tables</vt:lpstr>
      <vt:lpstr>Dashboad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 Mariz Malagum</dc:creator>
  <cp:lastModifiedBy>Envy</cp:lastModifiedBy>
  <dcterms:created xsi:type="dcterms:W3CDTF">2022-10-19T14:39:38Z</dcterms:created>
  <dcterms:modified xsi:type="dcterms:W3CDTF">2023-11-09T07:43:27Z</dcterms:modified>
</cp:coreProperties>
</file>